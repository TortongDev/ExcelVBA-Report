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T_SDP\Desktop\Tong_Template\Excel Report By Tong\"/>
    </mc:Choice>
  </mc:AlternateContent>
  <xr:revisionPtr revIDLastSave="0" documentId="13_ncr:1_{80EDADCE-745B-4985-9DA9-ED33CEA1739D}" xr6:coauthVersionLast="45" xr6:coauthVersionMax="45" xr10:uidLastSave="{00000000-0000-0000-0000-000000000000}"/>
  <bookViews>
    <workbookView xWindow="-120" yWindow="-120" windowWidth="20730" windowHeight="11160" activeTab="2" xr2:uid="{00000000-000D-0000-FFFF-FFFF00000000}"/>
  </bookViews>
  <sheets>
    <sheet name="Main Sheet" sheetId="15" r:id="rId1"/>
    <sheet name="Group Accounts" sheetId="13" state="hidden" r:id="rId2"/>
    <sheet name="Reports" sheetId="7" r:id="rId3"/>
    <sheet name="Result" sheetId="14" state="hidden" r:id="rId4"/>
    <sheet name="P&amp;L Grouping" sheetId="9" state="hidden" r:id="rId5"/>
    <sheet name="Income" sheetId="1" state="hidden" r:id="rId6"/>
    <sheet name="Cost of Salesa Expenses" sheetId="10" state="hidden" r:id="rId7"/>
    <sheet name="Operating Cost " sheetId="6" state="hidden" r:id="rId8"/>
  </sheets>
  <functionGroups builtInGroupCount="19"/>
  <externalReferences>
    <externalReference r:id="rId9"/>
  </externalReferences>
  <definedNames>
    <definedName name="_xlnm._FilterDatabase" localSheetId="6" hidden="1">'Cost of Salesa Expenses'!$A$1:$F$378</definedName>
    <definedName name="_xlnm._FilterDatabase" localSheetId="5" hidden="1">Income!$A$1:$F$227</definedName>
    <definedName name="date_from">'Main Sheet'!#REF!</definedName>
    <definedName name="date_from1">'Main Sheet'!#REF!</definedName>
    <definedName name="date_from1d">'Main Sheet'!#REF!</definedName>
    <definedName name="date_to">'Main Sheet'!#REF!</definedName>
    <definedName name="dbName">#REF!</definedName>
    <definedName name="E_COS">Reports!$E$22</definedName>
    <definedName name="E_Export">Reports!$E$14</definedName>
    <definedName name="E_GP">Reports!$E$25</definedName>
    <definedName name="E_Import">Reports!$E$12</definedName>
    <definedName name="E_Income">Reports!$E$18</definedName>
    <definedName name="E_sumTotal1">Reports!$E$29</definedName>
    <definedName name="E_sumTotal10">Reports!$E$38</definedName>
    <definedName name="E_sumTotal11">Reports!$E$39</definedName>
    <definedName name="E_sumTotal12">Reports!$E$40</definedName>
    <definedName name="E_sumTotal13">Reports!$E$41</definedName>
    <definedName name="E_sumTotal14">Reports!$E$42</definedName>
    <definedName name="E_sumTotal15">Reports!$E$43</definedName>
    <definedName name="E_sumTotal16">Reports!$E$44</definedName>
    <definedName name="E_sumTotal17">Reports!$E$45</definedName>
    <definedName name="E_sumTotal18">Reports!$E$46</definedName>
    <definedName name="E_sumTotal2">Reports!$E$30</definedName>
    <definedName name="E_sumTotal3">Reports!$E$31</definedName>
    <definedName name="E_sumTotal4">Reports!$E$32</definedName>
    <definedName name="E_sumTotal5">Reports!$E$33</definedName>
    <definedName name="E_sumTotal6">Reports!$E$34</definedName>
    <definedName name="E_sumTotal7">Reports!$E$35</definedName>
    <definedName name="E_sumTotal8">Reports!$E$36</definedName>
    <definedName name="E_sumTotal9">Reports!$E$37</definedName>
    <definedName name="E_TotalIncome">Reports!$E$21</definedName>
    <definedName name="E_Transit">Reports!$E$16</definedName>
    <definedName name="EsumTotal1">Reports!$E$29</definedName>
    <definedName name="ESumTotal2">Reports!$E$30</definedName>
    <definedName name="ESumTotal3">Reports!$E$31</definedName>
    <definedName name="Export">Reports!$E$14</definedName>
    <definedName name="I_COS">Reports!$I$22</definedName>
    <definedName name="I_Export">Reports!$I$14</definedName>
    <definedName name="I_GP">Reports!$I$25</definedName>
    <definedName name="I_import">Reports!$I$12</definedName>
    <definedName name="I_Income">Reports!$I$12</definedName>
    <definedName name="I_OIncome">Reports!$I$18</definedName>
    <definedName name="I_sumTotal1">Reports!$I$29</definedName>
    <definedName name="I_sumTotal10">Reports!$I$38</definedName>
    <definedName name="I_sumTotal11">Reports!$I$39</definedName>
    <definedName name="I_sumTotal12">Reports!$I$40</definedName>
    <definedName name="I_sumTotal13">Reports!$I$41</definedName>
    <definedName name="I_sumTotal14">Reports!$I$42</definedName>
    <definedName name="I_sumTotal15">Reports!$I$43</definedName>
    <definedName name="I_sumTotal16">Reports!$I$44</definedName>
    <definedName name="I_sumTotal17">Reports!$I$45</definedName>
    <definedName name="I_sumTotal18">Reports!$I$46</definedName>
    <definedName name="I_sumTotal2">Reports!$I$30</definedName>
    <definedName name="I_sumTotal3">Reports!$I$31</definedName>
    <definedName name="I_sumTotal4">Reports!$I$32</definedName>
    <definedName name="I_sumTotal5">Reports!$I$33</definedName>
    <definedName name="I_sumTotal6">Reports!$I$34</definedName>
    <definedName name="I_sumTotal7">Reports!$I$35</definedName>
    <definedName name="I_sumTotal8">Reports!$I$36</definedName>
    <definedName name="I_sumTotal9">Reports!$I$37</definedName>
    <definedName name="I_TotalIncome">Reports!$I$21</definedName>
    <definedName name="I_Transit">Reports!$I$16</definedName>
    <definedName name="Import">Reports!$E$12</definedName>
    <definedName name="Income">Reports!$E$18</definedName>
    <definedName name="IsumTotal2">Reports!$I$29</definedName>
    <definedName name="Password">#REF!</definedName>
    <definedName name="_xlnm.Print_Area" localSheetId="2">Reports!$A$1:$I$68</definedName>
    <definedName name="Server">#REF!</definedName>
    <definedName name="sumTotal1">Reports!$E$29</definedName>
    <definedName name="sumTotal2">Reports!$I$29</definedName>
    <definedName name="Transit">Reports!$C$15</definedName>
    <definedName name="Username">#REF!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1" i="7" l="1"/>
  <c r="I25" i="7" s="1"/>
  <c r="E21" i="7"/>
  <c r="E25" i="7" s="1"/>
  <c r="E48" i="7" s="1"/>
  <c r="E52" i="7" s="1"/>
  <c r="E56" i="7" s="1"/>
  <c r="I48" i="7" l="1"/>
  <c r="I52" i="7" s="1"/>
  <c r="I56" i="7" s="1"/>
  <c r="E694" i="9" l="1"/>
  <c r="G694" i="9"/>
  <c r="C688" i="9"/>
  <c r="C687" i="9"/>
  <c r="C686" i="9"/>
  <c r="C685" i="9"/>
  <c r="D688" i="9"/>
  <c r="D687" i="9"/>
  <c r="D686" i="9"/>
  <c r="D685" i="9"/>
  <c r="G215" i="9"/>
  <c r="G248" i="9" s="1"/>
  <c r="E215" i="9"/>
  <c r="E248" i="9" s="1"/>
  <c r="C681" i="9" l="1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D245" i="9"/>
  <c r="D244" i="9"/>
  <c r="D243" i="9"/>
  <c r="D242" i="9"/>
  <c r="D241" i="9"/>
  <c r="D240" i="9"/>
  <c r="D239" i="9"/>
  <c r="D238" i="9"/>
  <c r="D237" i="9"/>
  <c r="D236" i="9"/>
  <c r="D235" i="9"/>
  <c r="D234" i="9"/>
  <c r="D233" i="9"/>
  <c r="D232" i="9"/>
  <c r="D231" i="9"/>
  <c r="D230" i="9"/>
  <c r="D229" i="9"/>
  <c r="D228" i="9"/>
  <c r="D227" i="9"/>
  <c r="D226" i="9"/>
  <c r="D225" i="9"/>
  <c r="D224" i="9"/>
  <c r="D223" i="9"/>
  <c r="D222" i="9"/>
  <c r="C646" i="9"/>
  <c r="C645" i="9"/>
  <c r="C644" i="9"/>
  <c r="C643" i="9"/>
  <c r="D646" i="9"/>
  <c r="D645" i="9"/>
  <c r="D644" i="9"/>
  <c r="D643" i="9"/>
  <c r="C639" i="9"/>
  <c r="C638" i="9"/>
  <c r="C637" i="9"/>
  <c r="C636" i="9"/>
  <c r="C635" i="9"/>
  <c r="D639" i="9"/>
  <c r="D638" i="9"/>
  <c r="D637" i="9"/>
  <c r="D636" i="9"/>
  <c r="D635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C616" i="9"/>
  <c r="C615" i="9"/>
  <c r="C614" i="9"/>
  <c r="C613" i="9"/>
  <c r="D616" i="9"/>
  <c r="D615" i="9"/>
  <c r="D614" i="9"/>
  <c r="D613" i="9"/>
  <c r="C609" i="9"/>
  <c r="C608" i="9"/>
  <c r="C607" i="9"/>
  <c r="C606" i="9"/>
  <c r="D609" i="9"/>
  <c r="D608" i="9"/>
  <c r="D607" i="9"/>
  <c r="D606" i="9"/>
  <c r="C601" i="9"/>
  <c r="C600" i="9"/>
  <c r="C599" i="9"/>
  <c r="C598" i="9"/>
  <c r="C597" i="9"/>
  <c r="D601" i="9"/>
  <c r="D600" i="9"/>
  <c r="D599" i="9"/>
  <c r="D598" i="9"/>
  <c r="D597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C572" i="9"/>
  <c r="C571" i="9"/>
  <c r="C570" i="9"/>
  <c r="C569" i="9"/>
  <c r="C568" i="9"/>
  <c r="C567" i="9"/>
  <c r="C566" i="9"/>
  <c r="C565" i="9"/>
  <c r="C564" i="9"/>
  <c r="C563" i="9"/>
  <c r="D572" i="9"/>
  <c r="D571" i="9"/>
  <c r="D570" i="9"/>
  <c r="D569" i="9"/>
  <c r="D568" i="9"/>
  <c r="D567" i="9"/>
  <c r="D566" i="9"/>
  <c r="D565" i="9"/>
  <c r="D564" i="9"/>
  <c r="D563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D559" i="9"/>
  <c r="D558" i="9"/>
  <c r="D557" i="9"/>
  <c r="D556" i="9"/>
  <c r="D555" i="9"/>
  <c r="D554" i="9"/>
  <c r="D553" i="9"/>
  <c r="D552" i="9"/>
  <c r="D551" i="9"/>
  <c r="D550" i="9"/>
  <c r="D549" i="9"/>
  <c r="D548" i="9"/>
  <c r="D547" i="9"/>
  <c r="D546" i="9"/>
  <c r="D545" i="9"/>
  <c r="D544" i="9"/>
  <c r="D543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D539" i="9"/>
  <c r="D538" i="9"/>
  <c r="D537" i="9"/>
  <c r="D536" i="9"/>
  <c r="D535" i="9"/>
  <c r="D534" i="9"/>
  <c r="D533" i="9"/>
  <c r="D532" i="9"/>
  <c r="D531" i="9"/>
  <c r="D530" i="9"/>
  <c r="D529" i="9"/>
  <c r="D528" i="9"/>
  <c r="D527" i="9"/>
  <c r="D526" i="9"/>
  <c r="D525" i="9"/>
  <c r="D524" i="9"/>
  <c r="C520" i="9"/>
  <c r="C519" i="9"/>
  <c r="C518" i="9"/>
  <c r="C517" i="9"/>
  <c r="C516" i="9"/>
  <c r="C515" i="9"/>
  <c r="C514" i="9"/>
  <c r="C513" i="9"/>
  <c r="D520" i="9"/>
  <c r="D519" i="9"/>
  <c r="D518" i="9"/>
  <c r="D517" i="9"/>
  <c r="D516" i="9"/>
  <c r="D515" i="9"/>
  <c r="D514" i="9"/>
  <c r="D513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D510" i="9"/>
  <c r="D509" i="9"/>
  <c r="D508" i="9"/>
  <c r="D507" i="9"/>
  <c r="D506" i="9"/>
  <c r="D505" i="9"/>
  <c r="D504" i="9"/>
  <c r="D503" i="9"/>
  <c r="D502" i="9"/>
  <c r="D501" i="9"/>
  <c r="D500" i="9"/>
  <c r="D499" i="9"/>
  <c r="D498" i="9"/>
  <c r="D497" i="9"/>
  <c r="D496" i="9"/>
  <c r="D495" i="9"/>
  <c r="D494" i="9"/>
  <c r="D493" i="9"/>
  <c r="D492" i="9"/>
  <c r="D491" i="9"/>
  <c r="D490" i="9"/>
  <c r="D489" i="9"/>
  <c r="D488" i="9"/>
  <c r="D487" i="9"/>
  <c r="D486" i="9"/>
  <c r="C482" i="9"/>
  <c r="C481" i="9"/>
  <c r="C480" i="9"/>
  <c r="C479" i="9"/>
  <c r="C478" i="9"/>
  <c r="C477" i="9"/>
  <c r="C476" i="9"/>
  <c r="C475" i="9"/>
  <c r="C474" i="9"/>
  <c r="C473" i="9"/>
  <c r="D482" i="9"/>
  <c r="D481" i="9"/>
  <c r="D480" i="9"/>
  <c r="D479" i="9"/>
  <c r="D478" i="9"/>
  <c r="D477" i="9"/>
  <c r="D476" i="9"/>
  <c r="D475" i="9"/>
  <c r="D474" i="9"/>
  <c r="D473" i="9"/>
  <c r="C465" i="9"/>
  <c r="C464" i="9"/>
  <c r="C463" i="9"/>
  <c r="C462" i="9"/>
  <c r="D465" i="9"/>
  <c r="D464" i="9"/>
  <c r="D463" i="9"/>
  <c r="D462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D459" i="9"/>
  <c r="D458" i="9"/>
  <c r="D457" i="9"/>
  <c r="D456" i="9"/>
  <c r="D455" i="9"/>
  <c r="D454" i="9"/>
  <c r="D453" i="9"/>
  <c r="D452" i="9"/>
  <c r="D451" i="9"/>
  <c r="D450" i="9"/>
  <c r="D449" i="9"/>
  <c r="D448" i="9"/>
  <c r="D447" i="9"/>
  <c r="D446" i="9"/>
  <c r="D445" i="9"/>
  <c r="D444" i="9"/>
  <c r="D443" i="9"/>
  <c r="D442" i="9"/>
  <c r="D441" i="9"/>
  <c r="D440" i="9"/>
  <c r="D439" i="9"/>
  <c r="D438" i="9"/>
  <c r="D369" i="9"/>
  <c r="D437" i="9"/>
  <c r="D436" i="9"/>
  <c r="D435" i="9"/>
  <c r="D434" i="9"/>
  <c r="D433" i="9"/>
  <c r="D432" i="9"/>
  <c r="D431" i="9"/>
  <c r="D430" i="9"/>
  <c r="D429" i="9"/>
  <c r="D428" i="9"/>
  <c r="D427" i="9"/>
  <c r="D426" i="9"/>
  <c r="D425" i="9"/>
  <c r="D424" i="9"/>
  <c r="D423" i="9"/>
  <c r="D422" i="9"/>
  <c r="D421" i="9"/>
  <c r="D420" i="9"/>
  <c r="D419" i="9"/>
  <c r="D418" i="9"/>
  <c r="D417" i="9"/>
  <c r="D416" i="9"/>
  <c r="D415" i="9"/>
  <c r="D414" i="9"/>
  <c r="D413" i="9"/>
  <c r="D412" i="9"/>
  <c r="D411" i="9"/>
  <c r="D410" i="9"/>
  <c r="D409" i="9"/>
  <c r="D408" i="9"/>
  <c r="D407" i="9"/>
  <c r="D406" i="9"/>
  <c r="D405" i="9"/>
  <c r="D404" i="9"/>
  <c r="D403" i="9"/>
  <c r="D402" i="9"/>
  <c r="D401" i="9"/>
  <c r="D400" i="9"/>
  <c r="D399" i="9"/>
  <c r="D398" i="9"/>
  <c r="D397" i="9"/>
  <c r="D396" i="9"/>
  <c r="D395" i="9"/>
  <c r="D394" i="9"/>
  <c r="D393" i="9"/>
  <c r="D392" i="9"/>
  <c r="D391" i="9"/>
  <c r="D390" i="9"/>
  <c r="D389" i="9"/>
  <c r="D388" i="9"/>
  <c r="D387" i="9"/>
  <c r="D386" i="9"/>
  <c r="D385" i="9"/>
  <c r="D384" i="9"/>
  <c r="D383" i="9"/>
  <c r="D382" i="9"/>
  <c r="D381" i="9"/>
  <c r="D380" i="9"/>
  <c r="D379" i="9"/>
  <c r="D378" i="9"/>
  <c r="D377" i="9"/>
  <c r="D376" i="9"/>
  <c r="D375" i="9"/>
  <c r="D374" i="9"/>
  <c r="D373" i="9"/>
  <c r="D372" i="9"/>
  <c r="D371" i="9"/>
  <c r="D370" i="9"/>
  <c r="D368" i="9"/>
  <c r="D367" i="9"/>
  <c r="D366" i="9"/>
  <c r="D365" i="9"/>
  <c r="D364" i="9"/>
  <c r="D363" i="9"/>
  <c r="D362" i="9"/>
  <c r="D361" i="9"/>
  <c r="D360" i="9"/>
  <c r="D359" i="9"/>
  <c r="D358" i="9"/>
  <c r="D357" i="9"/>
  <c r="D356" i="9"/>
  <c r="D355" i="9"/>
  <c r="D354" i="9"/>
  <c r="D353" i="9"/>
  <c r="D352" i="9"/>
  <c r="D351" i="9"/>
  <c r="D350" i="9"/>
  <c r="D349" i="9"/>
  <c r="D348" i="9"/>
  <c r="D347" i="9"/>
  <c r="D346" i="9"/>
  <c r="D345" i="9"/>
  <c r="D344" i="9"/>
  <c r="D343" i="9"/>
  <c r="D342" i="9"/>
  <c r="D341" i="9"/>
  <c r="D340" i="9"/>
  <c r="D339" i="9"/>
  <c r="D338" i="9"/>
  <c r="D337" i="9"/>
  <c r="D336" i="9"/>
  <c r="D335" i="9"/>
  <c r="D334" i="9"/>
  <c r="D333" i="9"/>
  <c r="D332" i="9"/>
  <c r="D331" i="9"/>
  <c r="D330" i="9"/>
  <c r="D329" i="9"/>
  <c r="D328" i="9"/>
  <c r="D327" i="9"/>
  <c r="D326" i="9"/>
  <c r="D325" i="9"/>
  <c r="D324" i="9"/>
  <c r="D323" i="9"/>
  <c r="D322" i="9"/>
  <c r="D321" i="9"/>
  <c r="D320" i="9"/>
  <c r="D319" i="9"/>
  <c r="D318" i="9"/>
  <c r="D317" i="9"/>
  <c r="D316" i="9"/>
  <c r="D315" i="9"/>
  <c r="D314" i="9"/>
  <c r="D313" i="9"/>
  <c r="D312" i="9"/>
  <c r="D311" i="9"/>
  <c r="D310" i="9"/>
  <c r="D309" i="9"/>
  <c r="D308" i="9"/>
  <c r="D307" i="9"/>
  <c r="D306" i="9"/>
  <c r="D305" i="9"/>
  <c r="D304" i="9"/>
  <c r="D303" i="9"/>
  <c r="D302" i="9"/>
  <c r="D301" i="9"/>
  <c r="D300" i="9"/>
  <c r="D299" i="9"/>
  <c r="D298" i="9"/>
  <c r="D297" i="9"/>
  <c r="D296" i="9"/>
  <c r="D295" i="9"/>
  <c r="D294" i="9"/>
  <c r="D293" i="9"/>
  <c r="D292" i="9"/>
  <c r="D291" i="9"/>
  <c r="D290" i="9"/>
  <c r="D289" i="9"/>
  <c r="D288" i="9"/>
  <c r="D287" i="9"/>
  <c r="D286" i="9"/>
  <c r="D285" i="9"/>
  <c r="D284" i="9"/>
  <c r="D283" i="9"/>
  <c r="D282" i="9"/>
  <c r="D281" i="9"/>
  <c r="D280" i="9"/>
  <c r="D279" i="9"/>
  <c r="D278" i="9"/>
  <c r="D277" i="9"/>
  <c r="D276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D273" i="9"/>
  <c r="D272" i="9"/>
  <c r="D271" i="9"/>
  <c r="D270" i="9"/>
  <c r="D269" i="9"/>
  <c r="D268" i="9"/>
  <c r="D267" i="9"/>
  <c r="D266" i="9"/>
  <c r="D265" i="9"/>
  <c r="D264" i="9"/>
  <c r="D263" i="9"/>
  <c r="D262" i="9"/>
  <c r="D261" i="9"/>
  <c r="D260" i="9"/>
  <c r="D259" i="9"/>
  <c r="D258" i="9"/>
  <c r="D257" i="9"/>
  <c r="D256" i="9"/>
  <c r="D255" i="9"/>
  <c r="D254" i="9"/>
  <c r="C469" i="9"/>
  <c r="D469" i="9"/>
  <c r="G698" i="9"/>
  <c r="G702" i="9" s="1"/>
  <c r="E698" i="9"/>
  <c r="E702" i="9" s="1"/>
  <c r="D213" i="9"/>
  <c r="D212" i="9"/>
  <c r="D211" i="9"/>
  <c r="D210" i="9"/>
  <c r="D209" i="9"/>
  <c r="D208" i="9"/>
  <c r="D207" i="9"/>
  <c r="D206" i="9"/>
  <c r="D205" i="9"/>
  <c r="D204" i="9"/>
  <c r="D203" i="9"/>
  <c r="D202" i="9"/>
  <c r="D201" i="9"/>
  <c r="D200" i="9"/>
  <c r="D199" i="9"/>
  <c r="D198" i="9"/>
  <c r="D197" i="9"/>
  <c r="D196" i="9"/>
  <c r="D195" i="9"/>
  <c r="D194" i="9"/>
  <c r="D193" i="9"/>
  <c r="D192" i="9"/>
  <c r="D191" i="9"/>
  <c r="D190" i="9"/>
  <c r="D189" i="9"/>
  <c r="D188" i="9"/>
  <c r="D187" i="9"/>
  <c r="D186" i="9"/>
  <c r="D185" i="9"/>
  <c r="D184" i="9"/>
  <c r="D183" i="9"/>
  <c r="D182" i="9"/>
  <c r="D181" i="9"/>
  <c r="D180" i="9"/>
  <c r="D179" i="9"/>
  <c r="D178" i="9"/>
  <c r="D177" i="9"/>
  <c r="D176" i="9"/>
  <c r="D175" i="9"/>
  <c r="D174" i="9"/>
  <c r="D173" i="9"/>
  <c r="D172" i="9"/>
  <c r="D171" i="9"/>
  <c r="D170" i="9"/>
  <c r="D169" i="9"/>
  <c r="D168" i="9"/>
  <c r="D167" i="9"/>
  <c r="D166" i="9"/>
  <c r="D165" i="9"/>
  <c r="D164" i="9"/>
  <c r="D163" i="9"/>
  <c r="D162" i="9"/>
  <c r="D161" i="9"/>
  <c r="D160" i="9"/>
  <c r="D159" i="9"/>
  <c r="D158" i="9"/>
  <c r="D157" i="9"/>
  <c r="D156" i="9"/>
  <c r="D155" i="9"/>
  <c r="D154" i="9"/>
  <c r="D153" i="9"/>
  <c r="D152" i="9"/>
  <c r="D151" i="9"/>
  <c r="D150" i="9"/>
  <c r="D149" i="9"/>
  <c r="D148" i="9"/>
  <c r="D147" i="9"/>
  <c r="D146" i="9"/>
  <c r="D145" i="9"/>
  <c r="D144" i="9"/>
  <c r="D143" i="9"/>
  <c r="D142" i="9"/>
  <c r="D141" i="9"/>
  <c r="D140" i="9"/>
  <c r="D139" i="9"/>
  <c r="D138" i="9"/>
  <c r="D137" i="9"/>
  <c r="D136" i="9"/>
  <c r="D135" i="9"/>
  <c r="D134" i="9"/>
  <c r="D133" i="9"/>
  <c r="D132" i="9"/>
  <c r="D131" i="9"/>
  <c r="D130" i="9"/>
  <c r="D129" i="9"/>
  <c r="D128" i="9"/>
  <c r="D127" i="9"/>
  <c r="D126" i="9"/>
  <c r="D125" i="9"/>
  <c r="D124" i="9"/>
  <c r="D123" i="9"/>
  <c r="D122" i="9"/>
  <c r="D121" i="9"/>
  <c r="D120" i="9"/>
  <c r="D119" i="9"/>
  <c r="D118" i="9"/>
  <c r="D117" i="9"/>
  <c r="D116" i="9"/>
  <c r="D115" i="9"/>
  <c r="D114" i="9"/>
  <c r="D113" i="9"/>
  <c r="D112" i="9"/>
  <c r="C112" i="9"/>
  <c r="D109" i="9"/>
  <c r="D108" i="9"/>
  <c r="D107" i="9"/>
  <c r="D106" i="9"/>
  <c r="D105" i="9"/>
  <c r="D104" i="9"/>
  <c r="D103" i="9"/>
  <c r="D102" i="9"/>
  <c r="D101" i="9"/>
  <c r="D100" i="9"/>
  <c r="C100" i="9"/>
  <c r="D99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C79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3" i="1"/>
</calcChain>
</file>

<file path=xl/sharedStrings.xml><?xml version="1.0" encoding="utf-8"?>
<sst xmlns="http://schemas.openxmlformats.org/spreadsheetml/2006/main" count="1797" uniqueCount="1230">
  <si>
    <t>Turnover</t>
  </si>
  <si>
    <t>7 - ປະ​ເພດ 7 - ບັນ​ດາ ບັນຊີ​ ລາຍ​ຮັບ</t>
  </si>
  <si>
    <t>70 - ຂາ​ຍຜະລິດຕະພັນທີ່​ໄດ້​ຜະລິດ, ສິນຄ້າ, ການ​ໃຫ້ການ​ບໍ​ລິການ</t>
  </si>
  <si>
    <t>701 - ຂາຍ​ຜະລິດ​ຕະພັນ​ສຳ​ເລັດ​ຮູບ</t>
  </si>
  <si>
    <t>702 - ຂາຍ​ຜະລິດ​ຕະພັນລະຫວ່າ​ງກາງ</t>
  </si>
  <si>
    <t>704 - ຂາຍ​​ການ​ບໍ​ລິ​ການກໍ່ສ້າງ</t>
  </si>
  <si>
    <t>705 - ຂາຍ​ຜົນ​ການຄົ້ນຄວ້າ, ການ​ວິ​ໄຈ</t>
  </si>
  <si>
    <t>707 - ຂາ​ຍສິນຄ້າ</t>
  </si>
  <si>
    <t>708 - ຂາຍ​ການ​ບໍລິການອື່ນໆ</t>
  </si>
  <si>
    <t>7081 - ຂາຍ​ການ​ບໍລິການ-ຕູ້ສິນຄ້າຜ່ານແດນ Transit</t>
  </si>
  <si>
    <t>7081.01 - ຂາຍ​ການ​ບໍລິການ-ຕູ້ສິນຄ້າຜ່ານແດນ Transhipment-Rail Thai -Truck</t>
  </si>
  <si>
    <t>7081.02 - ຂາຍ​ການ​ບໍລິການ-ຕູ້ສິນຄ້າຜ່ານແດນ Transhipment-Truck-Truck-Rail China</t>
  </si>
  <si>
    <t>7081.03 - ຂາຍ​ການ​ບໍລິການ-ຕູ້ສິນຄ້າຜ່ານແດນ Transhipment-Rail China-Truck-LOLO</t>
  </si>
  <si>
    <t>7081.04 - ຂາຍ​ການ​ບໍລິການ-ຕູ້ສິນຄ້າຜ່ານແດນ Transhipment Train -PASS</t>
  </si>
  <si>
    <t>7081.05 - ຂາຍ​ການ​ບໍລິການ-ຕູ້ສິນຄ້າຜ່ານແດນ Transhipment-TRUCK-TRUCK</t>
  </si>
  <si>
    <t>7081.06 - ຂາຍ​ການ​ບໍລິການ-ຕູ້ສິນຄ້າຜ່ານແດນ Transhipment-TRUCK-SWAP</t>
  </si>
  <si>
    <t>7081.07 - ຂາຍ​ການ​ບໍລິການ-ຕູ້ສິນຄ້າຜ່ານແດນ Transhipment-Rail China-Truck-SWAP</t>
  </si>
  <si>
    <t>7081.08 - ຂາຍ​ການ​ບໍລິການ-ຕູ້ສິນຄ້າຜ່ານແດນ Transhipment-Truck-Rail China</t>
  </si>
  <si>
    <t>7081.09 - ຂາຍ​ການ​ບໍລິການ-ຕູ້ສິນຄ້າຜ່ານແດນ Transhipment- Rail Thai to Rail China</t>
  </si>
  <si>
    <t>7081.10 - ຂາຍ​ການ​ບໍລິການ-ຕູ້ສິນຄ້າຜ່ານແດນ Transhipment-Thai to China-Swap</t>
  </si>
  <si>
    <t>7081.11 - ຂາຍ​ການ​ບໍລິການ-ຕູ້ສິນຄ້າຜ່ານແດນ Transhipment-Thai to China-PASS</t>
  </si>
  <si>
    <t>7081.12 - ຂາຍ​ການ​ບໍລິການ-ຕູ້ສິນຄ້າຜ່ານແດນ Transhipment-Rail China tor Rail Thai</t>
  </si>
  <si>
    <t>7081.13 - ຂາຍ​ການ​ບໍລິການ-ຕູ້ສິນຄ້າຜ່ານແດນ Transhipment-China to Thai-Swap</t>
  </si>
  <si>
    <t>7081.14 - ຂາຍ​ການ​ບໍລິການ-ຕູ້ສິນຄ້າຜ່ານແດນ Transhipment-China to Thai-PASS</t>
  </si>
  <si>
    <t>7081.15 - ຂາຍ​ການ​ບໍລິການ-ຕູ້ສິນຄ້າຜ່ານແດນ Transhipment-Rail China-Truck-LOLO</t>
  </si>
  <si>
    <t>7082 - ຂາຍ​ການ​ບໍລິການ-ທຸກການນຳເຂົ້າ</t>
  </si>
  <si>
    <t>7082.01 - ຂາຍ​ການ​ບໍລິການ-ທຸກການນຳເຂົ້າ Import-Truck-Bulk-Pass</t>
  </si>
  <si>
    <t>7082.02 - ຂາຍ​ການ​ບໍລິການ-ທຸກການນຳເຂົ້າ Import-Truck-FCL-PASS</t>
  </si>
  <si>
    <t>7082.03 - ຂາຍ​ການ​ບໍລິການ-ທຸກການນຳເຂົ້າ Import-Truck-Gas&amp;Oil</t>
  </si>
  <si>
    <t>7082.04 - ຂາຍ​ການ​ບໍລິການ-ທຸກການນຳເຂົ້າ Import-Truck-Bulk-Swap</t>
  </si>
  <si>
    <t>7082.05 - ຂາຍ​ການ​ບໍລິການ-ທຸກການນຳເຂົ້າ Import-Truck-FCL-Swap</t>
  </si>
  <si>
    <t>7082.06 - ຂາຍ​ການ​ບໍລິການ-ທຸກການນຳເຂົ້າ Empty-Truck-Domestic</t>
  </si>
  <si>
    <t>7082.07 - ຂາຍ​ການ​ບໍລິການ-ທຸກການນຳເຂົ້າ Import-Truck-FCL</t>
  </si>
  <si>
    <t>7082.08 - ຂາຍ​ການ​ບໍລິການ-ທຸກການນຳເຂົ້າ Import-Truck-Bulk-LCL-Drop</t>
  </si>
  <si>
    <t>7082.09 - ຂາຍ​ການ​ບໍລິການ-ທຸກການນຳເຂົ້າ Import-Truck-LCL-Drop</t>
  </si>
  <si>
    <t>7082.10 - ຂາຍ​ການ​ບໍລິການ-ທຸກການນຳເຂົ້າ Import-Rail Thai - FCL</t>
  </si>
  <si>
    <t>7082.11 - ຂາຍ​ການ​ບໍລິການ-ທຸກການນຳເຂົ້າ Import-Rail Thai - LCL</t>
  </si>
  <si>
    <t>7082.12 - ຂາຍ​ການ​ບໍລິການ-ທຸກການນຳເຂົ້າ Import-Rail Thai - LCL-Truck Pickup</t>
  </si>
  <si>
    <t>7082.13 - ຂາຍ​ການ​ບໍລິການ-ທຸກການນຳເຂົ້າ Import-Rail China - FCL-TruckPASS</t>
  </si>
  <si>
    <t>7082.14 - ຂາຍ​ການ​ບໍລິການ-ທຸກການນຳເຂົ້າ Import-Rail China - LCL -TruckDrop</t>
  </si>
  <si>
    <t>7082.15 - ຂາຍ​ການ​ບໍລິການ-ທຸກການນຳເຂົ້າ Import-Rail China - LCL-Truck Pickup</t>
  </si>
  <si>
    <t>7082.16 - ຂາຍ​ການ​ບໍລິການ-ທຸກການນຳເຂົ້າ MTY-Truck-Bulk-LCL-Pickup-Inter</t>
  </si>
  <si>
    <t>7082.17 - ຂາຍ​ການ​ບໍລິການ-ທຸກການນຳເຂົ້າ Import-Rail Thai - DIR</t>
  </si>
  <si>
    <t>7082.18 - ຂາຍ​ການ​ບໍລິການ-ທຸກການນຳເຂົ້າ Import-Rail Thai - DIR-Truck Pickup</t>
  </si>
  <si>
    <t>7082.19 - ຂາຍ​ການ​ບໍລິການ-ທຸກການນຳເຂົ້າ Import-Rail China - FCL</t>
  </si>
  <si>
    <t>7082.20 - ຂາຍ​ການ​ບໍລິການ-ທຸກການນຳເຂົ້າ Import-Rail China - DIR</t>
  </si>
  <si>
    <t>7082.21 - ຂາຍ​ການ​ບໍລິການ-ທຸກການນຳເຂົ້າ Import-Rail China - LCL-Truck Pickup</t>
  </si>
  <si>
    <t>7082.22 - ຂາຍ​ການ​ບໍລິການ-ທຸກການນຳເຂົ້າ Import-Truck Pickup</t>
  </si>
  <si>
    <t>7082.23 - ຂາຍ​ການ​ບໍລິການ-ທຸກການນຳເຂົ້າ Import-Truck-LCL</t>
  </si>
  <si>
    <t>7082.24 - ຂາຍ​ການ​ບໍລິການ-ທຸກການນຳເຂົ້າ Import-Truck Pickup1</t>
  </si>
  <si>
    <t>7082.25 - ຂາຍ​ການ​ບໍລິການ-ທຸກການນຳເຂົ້າ Import-Truck-LCL</t>
  </si>
  <si>
    <t>7082.26 - ຂາຍ​ການ​ບໍລິການ-ທຸກການນຳເຂົ້າ Import-Truck Pickup1</t>
  </si>
  <si>
    <t>7082.27 - ຂາຍ​ການ​ບໍລິການ-ທຸກການນຳເຂົ້າ Import-Truck-Bulk-LCL-Pickup</t>
  </si>
  <si>
    <t>7082.28 - ຂາຍ​ການ​ບໍລິການ-ທຸກການນຳເຂົ້າ Import-Truck-LCL-Pickup(by Container)</t>
  </si>
  <si>
    <t>7082.29 - ຂາຍ​ການ​ບໍລິການ-ທຸກການນຳເຂົ້າ Import-Truck-LCL-Vehicle</t>
  </si>
  <si>
    <t>7083 - ຂາຍ​ການ​ບໍລິການ-ທຸກການສົ່ງອອກ</t>
  </si>
  <si>
    <t>7083.01 - ຂາຍ​ການ​ບໍລິການ-ທຸກການສົ່ງອອກ Export-T-Truck-FCL-PASS</t>
  </si>
  <si>
    <t>7083.02 - ຂາຍ​ການ​ບໍລິການ-ທຸກການສົ່ງອອກ Export-Truck-Bulk-LCL</t>
  </si>
  <si>
    <t>7083.03 - ຂາຍ​ການ​ບໍລິການ-ທຸກການສົ່ງອອກ Export-L-Truck-FCL-PASS</t>
  </si>
  <si>
    <t>7083.04 - ຂາຍ​ການ​ບໍລິການ-ທຸກການສົ່ງອອກ Export-Truck-FCL-SWAP</t>
  </si>
  <si>
    <t>7083.05 - ຂາຍ​ການ​ບໍລິການ-ທຸກການສົ່ງອອກ Export-Truck-FCL-LOLO</t>
  </si>
  <si>
    <t>7083.06 - ຂາຍ​ການ​ບໍລິການ-ທຸກການສົ່ງອອກ Export-Rail China - FCL-TruckPASS</t>
  </si>
  <si>
    <t>7083.07 - ຂາຍ​ການ​ບໍລິການ-ທຸກການສົ່ງອອກ Export-Rail Thai-TruckFCL</t>
  </si>
  <si>
    <t>7083.08 - ຂາຍ​ການ​ບໍລິການ-ທຸກການສົ່ງອອກ Export-Rail China-TruckFCL</t>
  </si>
  <si>
    <t>7083.09 - ຂາຍ​ການ​ບໍລິການ-ທຸກການສົ່ງອອກ Export-Truck-LCL-Drop</t>
  </si>
  <si>
    <t>7083.10 - ຂາຍ​ການ​ບໍລິການ-ທຸກການສົ່ງອອກ Export-Truck-LCL-Pickup</t>
  </si>
  <si>
    <t>7083.11 - ຂາຍ​ການ​ບໍລິການ-ທຸກການສົ່ງອອກ Export-LaoTruck-Bulk-PASS</t>
  </si>
  <si>
    <t>7083.12 - ຂາຍ​ການ​ບໍລິການ-ທຸກການສົ່ງອອກ Export-Truck-Bulk-SWAP</t>
  </si>
  <si>
    <t>7083.13 - ຂາຍ​ການ​ບໍລິການ-ທຸກການສົ່ງອອກ Export-T-Truck-Bulk-PASS</t>
  </si>
  <si>
    <t>7084 - ຂາຍ​ການ​ບໍລິການ-ຕູ້ສິນຄ້ານຳເຂົ້າເພື່ອສົ່ງອອກ</t>
  </si>
  <si>
    <t>7084.01 - ຂາຍ​ການ​ບໍລິການ-ຕູ້ສິນຄ້ານຳເຂົ້າເພື່ອສົ່ງອອກ</t>
  </si>
  <si>
    <t>7085 - ຂາຍ​ການ​ບໍລິການ-ງານລົດຜ່ານ EMPTY</t>
  </si>
  <si>
    <t>7085.01 - ຂາຍ​ການ​ບໍລິການ-ງານລົດຜ່ານ Empty-Truck Pickup</t>
  </si>
  <si>
    <t>7085.02 - ຂາຍ​ການ​ບໍລິການ-ງານລົດຜ່ານ Empty- Truck-PASS</t>
  </si>
  <si>
    <t>7085.03 - ຂາຍ​ການ​ບໍລິການ-ງານລົດຜ່ານ Empty- Truck-Swap</t>
  </si>
  <si>
    <t>7085.04 - ຂາຍ​ການ​ບໍລິການ-ງານລົດຜ່ານ Empty- Truck-MTYLOLO-Drop</t>
  </si>
  <si>
    <t>7085.05 - ຂາຍ​ການ​ບໍລິການ-ງານລົດຜ່ານ Empty-Pickup-MTY-SWAP</t>
  </si>
  <si>
    <t>7085.06 - ຂາຍ​ການ​ບໍລິການ-ງານລົດຜ່ານ Empty-Rail to Rail</t>
  </si>
  <si>
    <t>7085.07 - ຂາຍ​ການ​ບໍລິການ-ງານລົດຜ່ານ Empty-TruckCTN-PASS</t>
  </si>
  <si>
    <t>7085.08 - ຂາຍ​ການ​ບໍລິການ-ງານລົດຜ່ານ Empty-RAIL THAI</t>
  </si>
  <si>
    <t>7085.09 - ຂາຍ​ການ​ບໍລິການ-ງານລົດຜ່ານ Empty-RAIL THAI1</t>
  </si>
  <si>
    <t>7085.10 - ຂາຍ​ການ​ບໍລິການ-ງານລົດຜ່ານ Empty-Pickup-MTYLOLO-D</t>
  </si>
  <si>
    <t>7085.11 - ຂາຍ​ການ​ບໍລິການ-ງານລົດຜ່ານ Empty-Truck-TDP</t>
  </si>
  <si>
    <t>7085.12 - ຂາຍ​ການ​ບໍລິການ-ງານລົດຜ່ານ Empty-TruckCTN-TDP</t>
  </si>
  <si>
    <t>7085.13 - ຂາຍ​ການ​ບໍລິການ-ງານລົດຜ່ານ Empty-TruckCNT-Swap</t>
  </si>
  <si>
    <t>7085.14 - ຂາຍ​ການ​ບໍລິການ-ງານລົດຜ່ານ Empty-TruckCTN-Rail</t>
  </si>
  <si>
    <t>7085.15 - ຂາຍ​ການ​ບໍລິການ-ງານລົດຜ່ານ Empty-Pickup-MTYLOLO</t>
  </si>
  <si>
    <t>7085.16 - ຂາຍ​ການ​ບໍລິການ-ງານລົດຜ່ານ Empty-Pickup-MTYLOLO1</t>
  </si>
  <si>
    <t>7085.17 - ຂາຍ​ການ​ບໍລິການ-ງານລົດຜ່ານ Empty-Pickup-MTY</t>
  </si>
  <si>
    <t>7085.18 - ຂາຍ​ການ​ບໍລິການ-ງານລົດຜ່ານ Empty-Truck-Bulk-LCL-Pickup-Inter</t>
  </si>
  <si>
    <t>7086 - ຂາຍ​ການ​ບໍລິການອື່ນໆ</t>
  </si>
  <si>
    <t>7086.01 - ຂາຍ​ການ​ບໍລິການອື່ນໆ STORAGE</t>
  </si>
  <si>
    <t>7086.02 - ຂາຍ​ການ​ບໍລິການອື່ນໆ CFS</t>
  </si>
  <si>
    <t>7086.03 - ຂາຍ​ການ​ບໍລິການອື່ນໆ CY</t>
  </si>
  <si>
    <t>7086.04 - ຂາຍ​ການ​ບໍລິການອື່ນໆ Transport</t>
  </si>
  <si>
    <t>7086.05 - ຂາຍ​ການ​ບໍລິການອື່ນໆ Document</t>
  </si>
  <si>
    <t>7086.06 - ຂາຍ​ການ​ບໍລິການອື່ນໆ Register</t>
  </si>
  <si>
    <t>7086.07 - ຂາຍ​ການ​ບໍລິການອື່ນໆ  E-Seal</t>
  </si>
  <si>
    <t>7086.08 - ຂາຍ​ການ​ບໍລິການອື່ນໆ Card</t>
  </si>
  <si>
    <t>7086.09 - ຂາຍ​ການ​ບໍລິການອື່ນໆ Overnight</t>
  </si>
  <si>
    <t>709 - ​ການ​ຂາຍ​ສົ່ງ​ຄືນ ແລະ ສ່ວນ​ຫຼຸດຕ່າງໆ​ທີ່​ຫຼຸດ​ໃຫ້​ລູກ​ຄ້າ</t>
  </si>
  <si>
    <t>7091 - ການ​ຂາຍ​ສົ່ງ​ຄືນ</t>
  </si>
  <si>
    <t>7091.01 - ການ​ຂາຍ​ສົ່ງ​ຄືນ</t>
  </si>
  <si>
    <t>7092 - ສ່ວນຫຼຸດ​ຕ່າງໆ​ທີ່ຫຼຸດ​ໃຫ້​ລູກ​ຄ້າ</t>
  </si>
  <si>
    <t>7092.01 - ສ່ວນຫຼຸດ​ຕ່າງໆ​ທີ່ຫຼຸດ​ໃຫ້​ລູກ​ຄ້າ</t>
  </si>
  <si>
    <t>71 - ລາຍ​ຮັບ​ຈາກ​ ກິດຈະການ​ສຳຮອງ</t>
  </si>
  <si>
    <t>711 - ຂາຍ​ເສດ​​ເຫຼືອຜະລິດ​ຕະພັນ</t>
  </si>
  <si>
    <t>7111 - ຂາຍ​ເສດ​​ເຫຼືອຜະລິດ​ຕະພັນ</t>
  </si>
  <si>
    <t>712 - ​ລາຍຮັບຄ່າ​ເຊົ່າ​ຕ່າງໆ</t>
  </si>
  <si>
    <t>7121 - ​ລາຍຮັບຄ່າ​ເຊົ່າ​ຕ່າງໆ</t>
  </si>
  <si>
    <t>7121.01 - ​ລາຍຮັບຄ່າ​ເຊົ່າ​ຕ່າງໆ- ຕຶກອາຄານ</t>
  </si>
  <si>
    <t>7121.02 - ​ລາຍຮັບຄ່າ​ເຊົ່າ​ຕ່າງໆ-ພາຫະນະ</t>
  </si>
  <si>
    <t>7121.03 - ​ລາຍຮັບຄ່າ​ເຊົ່າ​ຕ່າງໆ-ອຸປະກອນ</t>
  </si>
  <si>
    <t>715 - ​ລາຍຮັບ​ຄ່າ​ນາຍ​ໜ້າ</t>
  </si>
  <si>
    <t>7151 - ​ລາຍຮັບ​ຄ່າ​ນາຍ​ໜ້າ</t>
  </si>
  <si>
    <t>7151.01 - ​ລາຍຮັບ​ຄ່າ​ນາຍ​ໜ້າ</t>
  </si>
  <si>
    <t>717 - ​ລາຍ​ຮັບຄ່າຂົນ​ສົ່ງ ​ແລະ ຄ່າ​ໃຊ້​ຈ່າຍ​ຕ່າງໆ​ທີ່​ເກັບ​ນຳ​ລູກ​ຄ້າ</t>
  </si>
  <si>
    <t>7171 - ​ລາຍ​ຮັບຄ່າຂົນ​ສົ່ງ ​ແລະ ຄ່າ​ໃຊ້​ຈ່າຍ​ຕ່າງໆ​ທີ່​ເກັບ​ນຳ​ລູກ​ຄ້າ</t>
  </si>
  <si>
    <t>7171.01 - ​ລາຍ​ຮັບຄ່າຂົນ​ສົ່ງ ​ແລະ ຄ່າ​ໃຊ້​ຈ່າຍ​ຕ່າງໆ​ທີ່​ເກັບ​ນຳ​ລູກ​ຄ້າ</t>
  </si>
  <si>
    <t>718 - ລາຍ​ຮັບ​ຈາກ ກິດ​ຈະ​ການ​ສຳ​ຮອງ​ອື່ນໆ</t>
  </si>
  <si>
    <t>7181 - ລາຍ​ຮັບ​ຈາກ ກິດ​ຈະ​ການ​ສຳ​ຮອງ​ອື່ນໆ</t>
  </si>
  <si>
    <t>7181.01 - ລາຍ​ຮັບ​ຈາກ ກິດ​ຈະ​ການ​ສຳ​ຮອງ​ອື່ນໆ</t>
  </si>
  <si>
    <t>719 - ສ່ວນ​ຫຼຸດລາຄາ ​ທີ່​ໄດ້ຫຼຸດໃຫ້</t>
  </si>
  <si>
    <t>7191 - ສ່ວນ​ຫຼຸດລາຄາ ​ທີ່​ໄດ້ຫຼຸດໃຫ້</t>
  </si>
  <si>
    <t>7191.01 - ສ່ວນ​ຫຼຸດລາຄາ ​ທີ່​ໄດ້ຫຼຸດໃຫ້</t>
  </si>
  <si>
    <t>74 - ​​ລາຍ​ຮັບ ເງິນ​ຊ່ວຍ​ໜູນ​​ ໃນ​ການ​ທຸລະ​ກິດ</t>
  </si>
  <si>
    <t>741 - ​ເງິນ​ຊ່ວຍ​ໜູນ ດຸ່ນດ່ຽງ</t>
  </si>
  <si>
    <t>7411 - ​ເງິນ​ຊ່ວຍ​ໜູນ ດຸ່ນດ່ຽງ</t>
  </si>
  <si>
    <t>748 - ​ເງິນ​ຊ່ວຍ​ໜູນ​ ໃນ​ການ​ທຸລະ​ກິດ</t>
  </si>
  <si>
    <t>7481 - ​ເງິນ​ຊ່ວຍ​ໜູນ​ ໃນ​ການ​ທຸລະ​ກິດ</t>
  </si>
  <si>
    <t>75 - ລາຍ​ຮັບ​ອື່ນໆ​ ໃນ​ການ​​ດຳ​ເນີນ​ງານ​ປົກ​ກະ​ຕິ</t>
  </si>
  <si>
    <t>751 - ຄ່າ​ທຳນຽມ ສຳ​ປະທານ ​ແລະ ຄ່າທຳນຽມ​ປະ​ເພດ​ດຽວ​ກັນ</t>
  </si>
  <si>
    <t>7511 - ຄ່າ​ທຳນຽມ ສຳ​ປະທານ ​ແລະ ຄ່າທຳນຽມ​ປະ​ເພດ​ດຽວ​ກັນ</t>
  </si>
  <si>
    <t>752 - ມູນ​ຄ່າ​ສ່ວນ​ໄດ້ ຈາກ​ການ​ຂາຍ ຊັບ​ສົມບັດ​ຄົງ​ທີ່ ທີ່​ບໍ່​ແມ່ນ​ການ​ເງິນ</t>
  </si>
  <si>
    <t>7521 - ມູນ​ຄ່າ​ສ່ວນ​ໄດ້ ຈາກ​ການ​ຂາຍ ຊັບ​ສົມບັດ​ຄົງ​ທີ່ ທີ່​ບໍ່​ແມ່ນ​ການ​ເງິນ</t>
  </si>
  <si>
    <t>7521.01 - ມູນ​ຄ່າ​ສ່ວນ​ໄດ້ ຈາກ​ການ​ຂາຍ ຊັບ​ສົມບັດ​ຄົງ​ທີ່ ທີ່​ບໍ່​ແມ່ນ​ການ​ເງິນ</t>
  </si>
  <si>
    <t>753 - ​ເບ້ຽ​ປະຊຸມ ​ແລະ ຄ່າ​ທົດ​ແທນ​ຜູ້​ບໍລິ​ຫານ, ຜູ້​ຈັດການ</t>
  </si>
  <si>
    <t>7531 - ​ເບ້ຽ​ປະຊຸມ ​ແລະ ຄ່າ​ທົດ​ແທນ​ຜູ້​ບໍລິ​ຫານ, ຜູ້​ຈັດການ</t>
  </si>
  <si>
    <t>754 - ພູດ​ສ່ວນ​ເງິນ​ຊ່ວຍ​ໜູນ​ກໍ່ສ້າງ​ພື້ນຖານ ທີ່​ໂອນ​ເຂົ້າ​ຜົນ​ໄດ້​ຮັບ​ໃນ​ປີ</t>
  </si>
  <si>
    <t>7541 - ພູດ​ສ່ວນ​ເງິນ​ຊ່ວຍ​ໜູນ​ກໍ່ສ້າງ​ພື້ນຖານ ທີ່​ໂອນ​ເຂົ້າ​ຜົນ​ໄດ້​ຮັບ​ໃນ​ປີ</t>
  </si>
  <si>
    <t>755 - ພູດ​ສ່ວນ​ຜົນ​ໄດ້​ຮັບ ຈາກ​ກິດ​ຈະ​ການ​ຮ່ວມ - ກຳ​ໄລ</t>
  </si>
  <si>
    <t>7551 - ພູດ​ສ່ວນ​ຜົນ​ໄດ້​ຮັບ ຈາກ​ກິດ​ຈະ​ການ​ຮ່ວມ - ກຳ​ໄລ</t>
  </si>
  <si>
    <t>756 - ​ເງິນ​ບໍລິຈາກ​ທີ່​ໄດ້​ຮັບ</t>
  </si>
  <si>
    <t>7561 - ​ເງິນ​ບໍລິຈາກ​ທີ່​ໄດ້​ຮັບ</t>
  </si>
  <si>
    <t>757 - ສ່ວນ​ໄດ້​ຈາກ​ການ​ສະ​ສາງຊັບ​ສິນ ພູດ​ສ່ວນ​ເງິນ​ຊ່ວຍ​ໜູນ​ກໍ່​ສ້າງ​ພື້ນ​ຖານ</t>
  </si>
  <si>
    <t>7571 - ສ່ວນ​ໄດ້​ຈາກ​ການ​ສະ​ສາງຊັບ​ສິນ ພູດ​ສ່ວນ​ເງິນ​ຊ່ວຍ​ໜູນ​ກໍ່​ສ້າງ​ພື້ນ​ຖານ</t>
  </si>
  <si>
    <t>758 - ລາຍ​ຮັບ​ອື່ນໆ ໃນ​ການ​ດຳ​ເນີນ​ງານ​ປົກ​ກະ​ຕິ</t>
  </si>
  <si>
    <t>7581 - ລາຍ​ຮັບ​ອື່ນໆ ໃນ​ການ​ດຳ​ເນີນ​ງານ​ປົກ​ກະ​ຕິ</t>
  </si>
  <si>
    <t>7581.01 - ລາຍ​ຮັບ​ອື່ນໆ ໃນ​ການ​ດຳ​ເນີນ​ງານ​ປົກ​ກະ​ຕິ</t>
  </si>
  <si>
    <t>76 - ລາຍ​ຮັບ​ການ​ເງິນ</t>
  </si>
  <si>
    <t>761 - ລາຍ​ຮັບ ​ເ​ງິນ​ປັນ​ຜົນ ແລະ ​ດອກ​ເບ້ຽ</t>
  </si>
  <si>
    <t>7611 - ລາຍ​ຮັບ ​ເງິນ​ປັນ​ຜົນ</t>
  </si>
  <si>
    <t>7611.01 - ລາຍ​ຮັບ ​ເງິນ​ປັນ​ຜົນ</t>
  </si>
  <si>
    <t>7612 - ລາຍ​ຮັບ ​ດອກ​ເບ້ຽ</t>
  </si>
  <si>
    <t>7612.01 - ລາຍ​ຮັບ ​ດອກ​ເບ້ຽ</t>
  </si>
  <si>
    <t>762 - ສ່ວນຫຼຸດ ຮັບຈາກການຊຳລະເງິນ</t>
  </si>
  <si>
    <t>7621 - ສ່ວນຫຼຸດ ຮັບຈາກການຊຳລະເງິນ</t>
  </si>
  <si>
    <t>7621.01 - ສ່ວນຫຼຸດ ຮັບຈາກການຊຳລະເງິນ</t>
  </si>
  <si>
    <t>763 - ກຳ​ໄລ​ຈາກ​ອັດຕາ​ແລກປ່ຽນ​ເງິນຕາ</t>
  </si>
  <si>
    <t>7631 - ກຳ​ໄລ​ຈາກ​ອັດຕາ​ແລກປ່ຽນ​ເງິນຕາ</t>
  </si>
  <si>
    <t>7631.01 - ກຳ​ໄລ​ຈາກ​ອັດຕາ​ແລກປ່ຽນ​​ເງິນ​ຕາ</t>
  </si>
  <si>
    <t>7631.02 - ກຳ​ໄລ​​ຈາກ​ອັດຕາ​ແລກປ່ຽນ​​ ຊຳລະໜີ້ຜູ້ສະໜອງ</t>
  </si>
  <si>
    <t>7631.03 - ກຳ​ໄລ​​ຈາກ​ອັດຕາ​ແລກປ່ຽນ​​ເງິນ​ຕາ ລູກຄ້າຊຳລະໜີ້</t>
  </si>
  <si>
    <t>7631.04 - ກຳໄລຈາກອັດຕາແລກປ່ຽນ-Unrealize</t>
  </si>
  <si>
    <t>764 - ລາຍ​ຮັບ ຈາກ​ຊັບ​ສົມບັດ​ຄົງ​ທີ່​ການ​ເງິນ​ອື່ນໆ</t>
  </si>
  <si>
    <t>7641 - ລາຍ​ຮັບ ຈາກ​ຊັບ​ສົມບັດ​ຄົງ​ທີ່​ການ​ເງິນ​ອື່ນໆ</t>
  </si>
  <si>
    <t>765 - ມູນ​ຄ່າ​ສ່ວນ​ເກີນ​ ​ບ້ວງຫຼັກ​ຊັບ​ລົງ​ທຶນ</t>
  </si>
  <si>
    <t>7651 - ມູນ​ຄ່າ​ສ່ວນ​ເກີນ​ ​ບ້ວງຫຼັກ​ຊັບ​ລົງ​ທຶນ</t>
  </si>
  <si>
    <t>766 - ມູນ​ຄ່າ​ສ່ວນ​ເກີນ​ ​​ເຄື່ອງ​ມື​ການ​ເງິນ ແລະ ​ເຄື່ອງມືປະ​ເພດ​ດຽວ​ກັນ</t>
  </si>
  <si>
    <t>7661 - ມູນ​ຄ່າ​ສ່ວນ​ເກີນ​ ​​ເຄື່ອງ​ມື​ການ​ເງິນ ແລະ ​ເຄື່ອງມືປະ​ເພດ​ດຽວ​ກັນ</t>
  </si>
  <si>
    <t>767 - ລາຍຮັບ​ສຸດທິ ຈາກ​ການ​ຂາຍ​​ຫຼັກຊັບ​​ໝູນທຶນ</t>
  </si>
  <si>
    <t>7671 - ລາຍຮັບ​ສຸດທິ ຈາກ​ການ​ຂາຍ​​ຫຼັກຊັບ​​ໝູນທຶນ</t>
  </si>
  <si>
    <t>768 - ລາຍ​ຮັບ​ການ​ເງິນ​ອື່ນໆ</t>
  </si>
  <si>
    <t>7681 - ລາຍ​ຮັບ​ການ​ເງິນ​ອື່ນໆ</t>
  </si>
  <si>
    <t>7681.01 - ລາຍ​ຮັບ​ການ​ເງິນ​ອື່ນໆ</t>
  </si>
  <si>
    <t>77 - ລາຍ​ຮັບ​ສັງ​ລວມ ຫຼັງ​ອາ​ກອນ</t>
  </si>
  <si>
    <t>773 - ສ່ວນ​ໄດ້​ຈາກ​ການ​ຕີ​ມູນ​ຄ່າ (ຊັບ​ສິນ-ໜີ້​ສິນ) ທີ່​ເປັນ​ເງິນ​ຕາ​ຕ່າງ​ປະ​ເທດ</t>
  </si>
  <si>
    <t>7731 - ສ່ວນ​ໄດ້​ຈາກ​ການ​ຕີ​ມູນ​ຄ່າ (ຊັບ​ສິນ-ໜີ້​ສິນ) ທີ່​ເປັນ​ເງິນ​ຕາ​ຕ່າງ​ປະ​ເທດ</t>
  </si>
  <si>
    <t>774 - ​ສ່ວນ​ໄດ້ຈາກ​ການ​ຕີ​ມູນ​ຄ່າ ຊັບ​ສົມ​ບັດ​ຄົງ​ທີ່​ຄືນ​ໃໝ່ເພີ່ມ​ຂຶ້ນ</t>
  </si>
  <si>
    <t>7741 - ​ສ່ວນ​ໄດ້ຈາກ​ການ​ຕີ​ມູນ​ຄ່າ ຊັບ​ສົມ​ບັດ​ຄົງ​ທີ່​ຄືນ​ໃໝ່ເພີ່ມ​ຂຶ້ນ</t>
  </si>
  <si>
    <t>7741.01 - ​ສ່ວນ​ໄດ້ຈາກ​ການ​ຕີ​ມູນ​ຄ່າ ຊັບ​ສົມ​ບັດ​ຄົງ​ທີ່​ຄືນ​ໃໝ່ເພີ່ມ​ຂຶ້ນ</t>
  </si>
  <si>
    <t>775 - ​ສ່ວນ​ໄດ້ຈາກ​ການ​ຊຳ​ລະ​ສະ​ສາງ ຫຼື ການ​ຄວບ ບໍ​ລິ​ສັດ</t>
  </si>
  <si>
    <t>7751 - ​ສ່ວນ​ໄດ້ຈາກ​ການ​ຊຳ​ລະ​ສະ​ສາງ ຫຼື ການ​ຄວບ ບໍ​ລິ​ສັດ</t>
  </si>
  <si>
    <t>778 - ລາຍ​ຮັບ​ສັງ​ລວມອື່ນໆ​ ຫຼັງ​ອາ​ກອນ</t>
  </si>
  <si>
    <t>7781 - ສ່ວນ​ໄດ້ຈາກ​ລາຍ​ການ​ດັດ​ແກ້ການ​ຮັບ​ຮອງ​ນຳ​ໃຊ້​ຄັ້ງ​ທຳ​ອິດ</t>
  </si>
  <si>
    <t>7782 - ​ສ່ວນ​ໄດ້​ຈາກ​ການ​ປ່ຽນ​ແປງ​ນະ​ໂຍ​ບາຍ​ດ້ານ​ບັນ​ຊີ</t>
  </si>
  <si>
    <t>7783 - ​ສ່ວນ​ໄດ້​ຈາກ​ການ​ແກ້​ໄຂ​ຂໍ້​ຜິດ​ພາດ​ດ້ານ​ບັນ​ຊີ</t>
  </si>
  <si>
    <t>7788 - ​​ລາຍ​ຮັບ​ສັງ​ລວມອື່ນໆ</t>
  </si>
  <si>
    <t>78 - ​ເກັບ​ຄືນ ຄ່າ​ຫຼຸ້ຍຫ້ຽນ, ຄ່າ​ສູນ​ເສຍ​ມູນ​ຄ່າ ​ແລະ ​ເງິນແຮ</t>
  </si>
  <si>
    <t>782 - ເກັບ​ຄືນ​ ຄ່າ​ຫຼຸ້ຍຫ້ຽນ - ຊັບ​ສົມບັດ​ຄົງ​ທີ່​ ມີ​ຕົວ​ຕົນ</t>
  </si>
  <si>
    <t>7821 - ເກັບ​ຄືນ​ ຄ່າ​ຫຼຸ້ຍຫ້ຽນ - ຊັບ​ສົມບັດ​ຄົງ​ທີ່​ ມີ​ຕົວ​ຕົນ</t>
  </si>
  <si>
    <t>783 - ​ເກັບ​ຄືນ​ ຄ່າ​ຫຼຸ້ຍຫ້ຽນ - ຊັບ​ສົມບັດ​ຄົງ​ທີ່​ ບໍ່​ມີ​ຕົວ​ຕົນ</t>
  </si>
  <si>
    <t>7831 - ​ເກັບ​ຄືນ​ ຄ່າ​ຫຼຸ້ຍຫ້ຽນ - ຊັບ​ສົມບັດ​ຄົງ​ທີ່​ ບໍ່​ມີ​ຕົວ​ຕົນ</t>
  </si>
  <si>
    <t>784 - ​ເກັບ​ຄືນ ​ເງິນ​ແຮ ​ເພື່ອ​ລາຍ​ຈ່າຍ</t>
  </si>
  <si>
    <t>7841 - ​ເກັບ​ຄືນ ​ເງິນ​ແຮ ​ເພື່ອ​ລາຍ​ຈ່າຍ</t>
  </si>
  <si>
    <t>785 - ​ເກັບ​ຄືນ ຄ່າ​ສູນ​ເສຍ​ມູນ​ຄ່າ - ຊັບສົມບັດຄົງທີ່</t>
  </si>
  <si>
    <t>7851 - ​ເກັບ​ຄືນ ຄ່າ​ສູນ​ເສຍ​ມູນ​ຄ່າ - ຊັບສົມບັດຄົງທີ່</t>
  </si>
  <si>
    <t>786 - ​ເກັບ​ຄືນ ຄ່າ​ສູນ​ເສຍ​ມູນ​ຄ່າ - ເຄື່ອງໃນສາງ</t>
  </si>
  <si>
    <t>7861 - ​ເກັບ​ຄືນ ຄ່າ​ສູນ​ເສຍ​ມູນ​ຄ່າ - ເຄື່ອງໃນສາງ</t>
  </si>
  <si>
    <t>787 - ​ເກັບ​ຄືນ ຄ່າ​ສູນ​ເສຍ​ມູນ​ຄ່າ - ໜີ້ຕ້ອງ​ຮັບ​ທວງ​ຍາກ</t>
  </si>
  <si>
    <t>7871 - ​ເກັບ​ຄືນ ຄ່າ​ສູນ​ເສຍ​ມູນ​ຄ່າ - ໜີ້ຕ້ອງ​ຮັບ​ທວງ​ຍາກ</t>
  </si>
  <si>
    <t>788 - ເກັບ​ຄືນ​ ຄ່າ​ສູນເສຍມູນຄ່າ - ຊັບ​ສິນການເງິນ</t>
  </si>
  <si>
    <t>7881 - ເກັບ​ຄືນ​ ຄ່າ​ສູນເສຍມູນຄ່າ - ຊັບ​ສິນການເງິນ</t>
  </si>
  <si>
    <t>7 - Category 7 - Income accounts</t>
  </si>
  <si>
    <t>70 - Selling manufactured products, goods, providing services</t>
  </si>
  <si>
    <t>701 - Selling finished products</t>
  </si>
  <si>
    <t>702 - Selling products in the middle</t>
  </si>
  <si>
    <t>704 - Selling construction services</t>
  </si>
  <si>
    <t>705 - Selling research results, research</t>
  </si>
  <si>
    <t>707 - Selling goods</t>
  </si>
  <si>
    <t>Cost of Sales</t>
  </si>
  <si>
    <t>6091.01 - ສ່ວນ​ຫຼຸດຕ່າງໆ​ ທີ່​ໄດ້​ຮັບ​ຈາກ​ການ​ຊື້ -ຕົ້ນທຶນການບໍລິການ</t>
  </si>
  <si>
    <t>6091.01 - Discounts received from purchases - cost of services</t>
  </si>
  <si>
    <t>6091.02 - ສ່ວນ​ຫຼຸດຕ່າງໆ​ ທີ່​ໄດ້​ຮັບ​ຈາກ​ການ​ຊື້  - ຄ່າໃຊ້ຈ່າຍການຂາຍການບໍລິການ</t>
  </si>
  <si>
    <t>6091.02 - Discounts received from purchases - Cost of selling services</t>
  </si>
  <si>
    <t>6091.03 - ສ່ວນ​ຫຼຸດຕ່າງໆ​ ທີ່​ໄດ້​ຮັບ​ຈາກ​ການ​ຊື້​ - ຄ່າໃຊ້ຈ່າຍບໍລິຫານ</t>
  </si>
  <si>
    <t>6091.03 - Discounts received from purchases - Administrative expenses</t>
  </si>
  <si>
    <t>61 - ຄ່າບໍລິການ​ຈາ​ກທາງ​ນອກ</t>
  </si>
  <si>
    <t>61 - Service charges from outside</t>
  </si>
  <si>
    <t>611 - ຈ້າງ​ທາງ​ນອກ​</t>
  </si>
  <si>
    <t>611 - Hiring outside</t>
  </si>
  <si>
    <t>6111 - ຈ້າງ​ທາງ​ນອກ​ ຄ່າຮັກສາຄວາມປອດໄຟ</t>
  </si>
  <si>
    <t>6111 - Hiring outside for fire safety</t>
  </si>
  <si>
    <t>6111.01 - ຈ້າງ​ທາງ​ນອກ​ ຄ່າຮັກສາຄວາມປອດໄຟ -ຕົ້ນທຶນການບໍລິການ</t>
  </si>
  <si>
    <t>6111.01 - Outside hire, fire safety maintenance - service cost</t>
  </si>
  <si>
    <t>6111.02 - ຈ້າງ​ທາງ​ນອກ​ ຄ່າຮັກສາຄວາມປອດໄຟ -ຄ່າໃຊ້ຈ່າຍການຂາຍການບໍລິການ</t>
  </si>
  <si>
    <t>6111.02 - Outside hire, fire safety maintenance - Service sales expenses</t>
  </si>
  <si>
    <t>6111.03 - ຈ້າງ​ທາງ​ນອກ​ ຄ່າຮັກສາຄວາມປອດໄຟ​ - ຄ່າໃຊ້ຈ່າຍບໍລິຫານ</t>
  </si>
  <si>
    <t>6111.03 - External hire, fire safety maintenance - Administrative expenses</t>
  </si>
  <si>
    <t>6112 - ຈ້າງ​ທາງ​ນອກ​ ບໍລິການດ້ານ IT</t>
  </si>
  <si>
    <t>6112 - Outsourcing IT services</t>
  </si>
  <si>
    <t>6112.01 - ຈ້າງ​ທາງ​ນອກ​ ບໍລິການດ້ານ IT -ຕົ້ນທຶນການບໍລິການ</t>
  </si>
  <si>
    <t>6112.01 - Outsourced IT services - cost of services</t>
  </si>
  <si>
    <t>6112.02 - ຈ້າງ​ທາງ​ນອກ​ ບໍລິການດ້ານ IT -ຄ່າໃຊ້ຈ່າຍການຂາຍການບໍລິການ</t>
  </si>
  <si>
    <t>6112.02 - Outsourced IT services - Cost of selling services</t>
  </si>
  <si>
    <t>6112.03 - ຈ້າງ​ທາງ​ນອກ​ ບໍລິການດ້ານ IT​ - ຄ່າໃຊ້ຈ່າຍບໍລິຫານ</t>
  </si>
  <si>
    <t>6112.03 - Outsourced IT services - Administrative expenses</t>
  </si>
  <si>
    <t>6113 - ຈ້າງ​ທາງ​ນອກ​ ພະນັກງານຈ້າງທາງນອກວິສະຫະກໍຳ</t>
  </si>
  <si>
    <t>6113 - Hiring from outside</t>
  </si>
  <si>
    <t>6113.01 - ຈ້າງ​ທາງ​ນອກ​ ພະນັກງານຈ້າງທາງນອກວິສະຫະກໍຳ -ຕົ້ນທຶນການບໍລິການ</t>
  </si>
  <si>
    <t>6113.01 - Outsourced employees - cost of services</t>
  </si>
  <si>
    <t>6113.02 - ຈ້າງ​ທາງ​ນອກ​ ພະນັກງານຈ້າງທາງນອກວິສະຫະກໍາ-ຄ່າໃຊ້ຈ່າຍການຂາຍການບໍລິການ</t>
  </si>
  <si>
    <t>6113.02 - Outsourced engineering - cost of selling services</t>
  </si>
  <si>
    <t>6113.03 - ຈ້າງ​ທາງ​ນອກ​ ພະນັກງານຈ້າງທາງນອກວິສະຫະກໍຳ - ຄ່າໃຊ້ຈ່າຍບໍລິຫານ</t>
  </si>
  <si>
    <t>6113.03 - Outsourced employees - Administrative expenses</t>
  </si>
  <si>
    <t>6114 - ຈ້າງ​ທາງ​ນອກ​ ພະນັກງານຈ້າງທາງນອກ</t>
  </si>
  <si>
    <t>6114 - Outsourced employees</t>
  </si>
  <si>
    <t>6114.01 - ຈ້າງ​ທາງ​ນອກ​ ບໍລິການ ກວດສອບຈາກທາງນອກ -ຕົ້ນທຶນການບໍລິການ</t>
  </si>
  <si>
    <t>6114.01 - Hiring external services, checking from external sources - cost of services</t>
  </si>
  <si>
    <t>6114.02 - ຈ້າງ​ທາງ​ນອກ​ ບໍລິການ ກວດສອບຈາກທາງນອກ-ຄ່າໃຊ້ຈ່າຍການຂາຍການບໍລິການ</t>
  </si>
  <si>
    <t>6114.02 - Outsourced services, audits from the outside - cost of selling services</t>
  </si>
  <si>
    <t>6114.03 - ຈ້າງ​ທາງ​ນອກ​ ບໍລິການ ກວດສອບຈາກທາງນອກ - ຄ່າໃຊ້ຈ່າຍບໍລິຫານ</t>
  </si>
  <si>
    <t>6114.03 - Outsourced audit services - Administrative costs</t>
  </si>
  <si>
    <t>6115 - ຈ້າງ​ທາງ​ນອກ​ ພະນັກງານຈ້າງທາງນອກ</t>
  </si>
  <si>
    <t>6115 - Hiring from the outside, employees are hired from the outside</t>
  </si>
  <si>
    <t>6115.01 - ຈ້າງ​ທາງ​ນອກ​ ບໍລິການ ທຳຄວາມສະອາດ -ຕົ້ນທຶນການບໍລິການ</t>
  </si>
  <si>
    <t>6115.01 - Outsourced cleaning services - cost of services</t>
  </si>
  <si>
    <t>6115.02 - ຈ້າງ​ທາງ​ນອກ​ ບໍລິການ ທຳຄວາມສະອາດ-ຄ່າໃຊ້ຈ່າຍການຂາຍການບໍລິການ</t>
  </si>
  <si>
    <t>6115.02 - Outsourced cleaning services - cost of selling services</t>
  </si>
  <si>
    <t>6115.03 - ຈ້າງ​ທາງ​ນອກ​ ບໍລິການ ທຳຄວາມສະອາດ - ຄ່າໃຊ້ຈ່າຍບໍລິຫານ</t>
  </si>
  <si>
    <t>6115.03 - Outsourced cleaning services - Administrative expenses</t>
  </si>
  <si>
    <t>612 - ຄ່າ​ເຊົ່າ</t>
  </si>
  <si>
    <t>612 - Rent</t>
  </si>
  <si>
    <t>6121 - ຄ່າເຊົ່າຕຶກ, ອາຄານ</t>
  </si>
  <si>
    <t>6121 - Building rent, buildings</t>
  </si>
  <si>
    <t>6121.01 - ຄ່າເຊົ່າຕຶກ, ອາຄານ - ຕົ້ນທຶນການບໍລິການ</t>
  </si>
  <si>
    <t>6121.01 - Building rent, building - service cost</t>
  </si>
  <si>
    <t>6121.02 - ຄ່າເຊົ່າຕຶກ, ອາຄານ - ຄ່າໃຊ້ຈ່າຍການຂາຍການບໍລິການ</t>
  </si>
  <si>
    <t>6121.02 - Building rent, building - Cost of selling services</t>
  </si>
  <si>
    <t>6121.03 - ຄ່າເຊົ່າຕຶກ, ອາຄານ - ຄ່າໃຊ້ຈ່າຍບໍລິຫານ</t>
  </si>
  <si>
    <t>6121.03 - Building rent, building - Administrative expenses</t>
  </si>
  <si>
    <t>6122 - ຄ່າ​ເຊົ່າອຸປະກອນ ແລະ ເຄື່ອງໃຊ້ຫ້ອງການ</t>
  </si>
  <si>
    <t>6122 - Rental of office equipment and supplies</t>
  </si>
  <si>
    <t>6122.01 - ຄ່າ​ເຊົ່າອຸປະກອນ ແລະ ເຄື່ອງໃຊ້ຫ້ອງການ - ຕົ້ນທຶນການບໍລິການ</t>
  </si>
  <si>
    <t>6122.01 - Rental of office equipment and supplies - Service cost</t>
  </si>
  <si>
    <t>6122.02 - ຄ່າ​ເຊົ່າອຸປະກອນ ແລະ ເຄື່ອງໃຊ້ຫ້ອງການ - ຄ່າໃຊ້ຈ່າຍການຂາຍການບໍລິການ</t>
  </si>
  <si>
    <t>6122.02 - Rental of office equipment and supplies - Cost of selling services</t>
  </si>
  <si>
    <t>6122.03 - ຄ່າ​ເຊົ່າອຸປະກອນ ແລະ ເຄື່ອງໃຊ້ຫ້ອງການ - ຄ່າໃຊ້ຈ່າຍບໍລິຫານ</t>
  </si>
  <si>
    <t>6122.03 - Rental of office equipment and supplies - Administrative expenses</t>
  </si>
  <si>
    <t>6123 - ຄ່າ​ເຊົ່າລົດ</t>
  </si>
  <si>
    <t>6123 - Car rental</t>
  </si>
  <si>
    <t>6123.01 - ຄ່າ​ເຊົ່າລົດ - ຕົ້ນທຶນການບໍລິການ</t>
  </si>
  <si>
    <t>6123.01 - Car rental - Service cost</t>
  </si>
  <si>
    <t>6123.02 - ຄ່າ​ເຊົ່າລົດ - ຄ່າໃຊ້ຈ່າຍການຂາຍການບໍລິການ</t>
  </si>
  <si>
    <t>6123.02 - Car rental fee - Cost of selling services</t>
  </si>
  <si>
    <t>6123.03 - ຄ່າ​ເຊົ່າລົດ - ຄ່າໃຊ້ຈ່າຍບໍລິຫານ</t>
  </si>
  <si>
    <t>6123.03 - Car rental - Administrative expenses</t>
  </si>
  <si>
    <t>6124 - ຄ່າເຊົ່າສາຍ Internet</t>
  </si>
  <si>
    <t>6124 - Internet cable rental fee</t>
  </si>
  <si>
    <t>6124.01 - ຄ່າເຊົ່າສາຍ Internet - ຕົ້ນທຶນການບໍລິການ</t>
  </si>
  <si>
    <t>6124.01 - Internet cable rental - Service cost</t>
  </si>
  <si>
    <t>6124.02 - ຄ່າເຊົ່າສາຍ Internet - ຄ່າໃຊ້ຈ່າຍການຂາຍການບໍລິການ</t>
  </si>
  <si>
    <t>6124.02 - Internet cable rental - Cost of selling services</t>
  </si>
  <si>
    <t>6124.03 - ຄ່າເຊົ່າສາຍ Internet - ຄ່າໃຊ້ຈ່າຍບໍລິຫານ</t>
  </si>
  <si>
    <t>6124.03 - Internet cable rental fee - Administrative expenses</t>
  </si>
  <si>
    <t>6125 - ຄ່າເຊົ່າດິນ</t>
  </si>
  <si>
    <t>6125 - Land rent</t>
  </si>
  <si>
    <t>6125.01 - ຄ່າເຊົ່າດິນ - ຕົ້ນທຶນການບໍລິການ</t>
  </si>
  <si>
    <t>6125.01 - Land rent - Service cost</t>
  </si>
  <si>
    <t>613 - ຄ່າ​ທຳ​ນຽມ</t>
  </si>
  <si>
    <t>613 - Fees</t>
  </si>
  <si>
    <t>6131 - ຄ່າ​ທຳ​ນຽມ (ຈາກຜູ້ສະໜອງ)</t>
  </si>
  <si>
    <t>6131 - Fees (from suppliers)</t>
  </si>
  <si>
    <t>6131.01 - ຄ່າ​ທຳ​ນຽມ -ຕົ້ນທຶນການບໍລິການ</t>
  </si>
  <si>
    <t>6131.01 - Fees - Cost of services</t>
  </si>
  <si>
    <t>6131.02 - ຄ່າ​ທຳ​ນຽມ - ຄ່າໃຊ້ຈ່າຍການຂາຍການບໍລິການ</t>
  </si>
  <si>
    <t>6131.02 - Fees - Cost of selling services</t>
  </si>
  <si>
    <t>6131.03 - ຄ່າ​ທຳ​ນຽມ- ຄ່າໃຊ້ຈ່າຍບໍລິຫານ</t>
  </si>
  <si>
    <t>6131.03 - Fees - Administrative expenses</t>
  </si>
  <si>
    <t>614 - ຄ່າບົວລະບັດ, ບຳລຸງ​ຮັກສາ ​ແລະ ສ້ອມ​​ແປງ</t>
  </si>
  <si>
    <t>614 - Care, maintenance and repair fees</t>
  </si>
  <si>
    <t>6141 - ຄ່າບົວລະບັດ, ບຳລຸງ​ຮັກສາ ​ແລະ ສ້ອມ​​ແປງ ຕຶກອາຄານ</t>
  </si>
  <si>
    <t>6141 - Cost of care, maintenance and repair of buildings</t>
  </si>
  <si>
    <t>6141.01 - ຄ່າບົວລະບັດ, ບຳລຸງ​ຮັກສາ ​ແລະ ສ້ອມ​​ແປງ ຕຶກອາຄານ - ຕົ້ນທຶນການບໍລິການ</t>
  </si>
  <si>
    <t>6141.01 - Cost of care, maintenance and repair of buildings - Service cost</t>
  </si>
  <si>
    <t>6141.02 - ຄ່າບົວລະບັດ, ບຳລຸງ​ຮັກສາ ​ແລະ ສ້ອມ​​ແປງ ຕຶກອາຄານ - ຄ່າໃຊ້ຈ່າຍການຂາຍການບໍລິການ</t>
  </si>
  <si>
    <t>6141.02 - Costs of care, maintenance and repair of buildings - Cost of selling services</t>
  </si>
  <si>
    <t>6141.03 - ຄ່າບົວລະບັດ, ບຳລຸງ​ຮັກສາ ​ແລະ ສ້ອມ​​ແປງ ຕຶກອາຄານ - ຄ່າໃຊ້ຈ່າຍບໍລິຫານ</t>
  </si>
  <si>
    <t>6141.03 - Building maintenance, repair and maintenance costs - Administrative costs</t>
  </si>
  <si>
    <t>6142 - ຄ່າບົວລະບັດ, ບຳລຸງ​ຮັກສາ ​ແລະ ສ້ອມ​​ແປງ ເຄື່ອງໃຊ້ຫ້ອງການ</t>
  </si>
  <si>
    <t>6142 - Cost of care, maintenance and repair of office equipment</t>
  </si>
  <si>
    <t>6142.01 - ຄ່າບົວລະບັດ, ບຳລຸງ​ຮັກສາ ​ແລະ ສ້ອມ​​ແປງ ເຄື່ອງໃຊ້ຫ້ອງການ - ຕົ້ນທຶນການບໍລິການ</t>
  </si>
  <si>
    <t>6142.01 - Cost of care, maintenance and repair of office equipment - Service cost</t>
  </si>
  <si>
    <t>6142.02 - ຄ່າບົວລະບັດ, ບຳລຸງ​ຮັກສາ ​ແລະ ສ້ອມ​​ແປງ ເຄື່ອງໃຊ້ຫ້ອງການ - ຄ່າໃຊ້ຈ່າຍການຂາຍການບໍລິການ</t>
  </si>
  <si>
    <t>6142.02 - Cost of care, maintenance and repair of office equipment - Cost of selling services</t>
  </si>
  <si>
    <t>6142.03 - ຄ່າບົວລະບັດ, ບຳລຸງ​ຮັກສາ ​ແລະ ສ້ອມ​​ແປງ ເຄື່ອງໃຊ້ຫ້ອງການ - ຄ່າໃຊ້ຈ່າຍບໍລິຫານ</t>
  </si>
  <si>
    <t>6142.03 - Maintenance and repair of office equipment - Administrative expenses</t>
  </si>
  <si>
    <t>6143 - ຄ່າບົວລະບັດ, ບຳລຸງ​ຮັກສາ ​ແລະ ສ້ອມ​​ແປງ ລົດ</t>
  </si>
  <si>
    <t>6143 - Car care, maintenance and repair fees</t>
  </si>
  <si>
    <t>6143.01 - ຄ່າບົວລະບັດ, ບຳລຸງ​ຮັກສາ ​ແລະ ສ້ອມ​​ແປງ ລົດ - ຕົ້ນທຶນການບໍລິການ</t>
  </si>
  <si>
    <t>6143.01 - Car care, maintenance and repair costs - Service cost</t>
  </si>
  <si>
    <t>6143.02 - ຄ່າບົວລະບັດ, ບຳລຸງ​ຮັກສາ ​ແລະ ສ້ອມ​​ແປງ ລົດ -ຄ່າໃຊ້ຈ່າຍການຂາຍການບໍລິການ</t>
  </si>
  <si>
    <t>6143.02 - Cost of care, maintenance and repair of car - Cost of selling services</t>
  </si>
  <si>
    <t>6143.03 - ຄ່າບົວລະບັດ, ບຳລຸງ​ຮັກສາ ​ແລະ ສ້ອມ​​ແປງ ລົດ -ຄ່າໃຊ້ຈ່າຍບໍລິຫານ</t>
  </si>
  <si>
    <t>6143.03 - Car care, maintenance and repair costs - administrative costs</t>
  </si>
  <si>
    <t>6144 - ຄ່າບົວລະບັດ, ບຳລຸງ​ຮັກສາ ​ແລະ ສ້ອມ​​ແປງ ອຸປະກອນເຄື່ອງຈັກ</t>
  </si>
  <si>
    <t>6144 - Cost of care, maintenance and repair of machine equipment</t>
  </si>
  <si>
    <t>6144.01 - ຄ່າບົວລະບັດ, ບຳລຸງ​ຮັກສາ ​ແລະ ສ້ອມ​​ແປງ ອຸປະກອນເຄື່ອງຈັກ -ຕົ້ນທຶນການບໍລິການ</t>
  </si>
  <si>
    <t>6144.01 - Cost of care, maintenance and repair of machine equipment - Cost of service</t>
  </si>
  <si>
    <t>6144.02 - ຄ່າບົວລະບັດ, ບຳລຸງ​ຮັກສາ ​ແລະ ສ້ອມ​​ແປງ ອຸປະກອນເຄື່ອງຈັກ- -ຄ່າໃຊ້ຈ່າຍການຂາຍການບໍລິການ</t>
  </si>
  <si>
    <t>6144.02 - Cost of care, maintenance and repair of machine equipment - -Cost of selling services</t>
  </si>
  <si>
    <t>6144.03 - ຄ່າບົວລະບັດ, ບຳລຸງ​ຮັກສາ ​ແລະ ສ້ອມ​​ແປງ ອຸປະກອນເຄື່ອງຈັກ--ຄ່າໃຊ້ຈ່າຍບໍລິຫານ</t>
  </si>
  <si>
    <t>6144.03 - Maintenance, maintenance and repair of machinery and equipment--Administrative expenses</t>
  </si>
  <si>
    <t>615 - ຄ່າ​ທຳ​ນຽມປະ​ກັນ​ໄພ</t>
  </si>
  <si>
    <t>615 - Insurance fee</t>
  </si>
  <si>
    <t>6151 - ຄ່າ​ທຳ​ນຽມປະ​ກັນ​ໄພ ພາຫະນະ</t>
  </si>
  <si>
    <t>6151 - Vehicle insurance fee</t>
  </si>
  <si>
    <t>6151.01 - ຄ່າ​ທຳ​ນຽມປະ​ກັນ​ໄພ ພາຫະນະ - ຕົ້ນທຶນການບໍລິການ</t>
  </si>
  <si>
    <t>6151.01 - Vehicle insurance fee - Service cost</t>
  </si>
  <si>
    <t>6151.02 - ຄ່າ​ທຳ​ນຽມປະ​ກັນ​ໄພ ພາຫະນະ - ຄ່າໃຊ້ຈ່າຍການຂາຍການບໍລິການ</t>
  </si>
  <si>
    <t>6151.02 - Vehicle insurance fee - Cost of selling service</t>
  </si>
  <si>
    <t>6151.03 - ຄ່າ​ທຳ​ນຽມປະ​ກັນ​ໄພ ພາຫະນະ - ຄ່າໃຊ້ຈ່າຍບໍລິຫານ</t>
  </si>
  <si>
    <t>6151.03 - Vehicle insurance fee - Administrative expenses</t>
  </si>
  <si>
    <t>6152 - ຄ່າ​ທຳ​ນຽມປະ​ກັນ​ໄພ ຕຶກອາຄານ</t>
  </si>
  <si>
    <t>6152 - Building insurance fee</t>
  </si>
  <si>
    <t>6152.01 - ຄ່າ​ທຳ​ນຽມປະ​ກັນ​ໄພ ຕຶກອາຄານ - ຕົ້ນທຶນການບໍລິການ</t>
  </si>
  <si>
    <t>6152.01 - Building insurance fee - Service cost</t>
  </si>
  <si>
    <t>6152.02 - ຄ່າ​ທຳ​ນຽມປະ​ກັນ​ໄພ ຕຶກອາຄານ - ຄ່າໃຊ້ຈ່າຍການຂາຍການບໍລິການ</t>
  </si>
  <si>
    <t>6152.02 - Building insurance fee - Cost of selling services</t>
  </si>
  <si>
    <t>6152.03 - ຄ່າ​ທຳ​ນຽມປະ​ກັນ​ໄພ ຕຶກອາຄານ - ຄ່າໃຊ້ຈ່າຍບໍລິຫານ</t>
  </si>
  <si>
    <t>6152.03 - Building insurance fee - Administrative expenses</t>
  </si>
  <si>
    <t>6153 - ຄ່າ​ທຳ​ນຽມປະ​ກັນ​ໄພ ວັດຖຸ ອຸປະກອນ</t>
  </si>
  <si>
    <t>6153 - Material and equipment insurance fee</t>
  </si>
  <si>
    <t>6153.01 - ຄ່າ​ທຳ​ນຽມປະ​ກັນ​ໄພ ວັດຖຸ ອຸປະກອນ - ຕົ້ນທຶນການບໍລິການ</t>
  </si>
  <si>
    <t>6153.01 - Insurance fee, material, equipment - service cost</t>
  </si>
  <si>
    <t>6153.02 - ຄ່າ​ທຳ​ນຽມປະ​ກັນ​ໄພ ວັດຖຸ ອຸປະກອນ - ຄ່າໃຊ້ຈ່າຍການຂາຍການບໍລິການ</t>
  </si>
  <si>
    <t>6153.02 - Insurance fees for materials, equipment - Cost of selling services</t>
  </si>
  <si>
    <t>6153.03 - ຄ່າ​ທຳ​ນຽມປະ​ກັນ​ໄພ ວັດຖຸ ອຸປະກອນ - ຄ່າໃຊ້ຈ່າຍບໍລິຫານ</t>
  </si>
  <si>
    <t>6153.03 - Insurance fees, materials, equipment - Administrative expenses</t>
  </si>
  <si>
    <t>616 - ຄ່າ​ໃຊ້​ຈ່າຍ​ໃນ​ການ​ເຊົ່າ ແລະ ການ​ຮ່ວມ​ກຳ​ມະ​ສິດ</t>
  </si>
  <si>
    <t>616 - Rental and co-ownership expenses</t>
  </si>
  <si>
    <t>6161 - ຄ່າ​ໃຊ້​ຈ່າຍ​ໃນ​ການ​ເຊົ່າ ແລະ ການ​ຮ່ວມ​ກຳ​ມະ​ສິດ</t>
  </si>
  <si>
    <t>6161 - Rental and co-ownership expenses</t>
  </si>
  <si>
    <t>6161.01 - ຄ່າ​ໃຊ້​ຈ່າຍ​ໃນ​ການ​ເຊົ່າ ແລະ ການ​ຮ່ວມ​ກຳ​ມະ​ສິດ</t>
  </si>
  <si>
    <t>6161.01 - Rental and co-ownership expenses</t>
  </si>
  <si>
    <t>617 - ຄ່າ​ວິ​ໄຈ ແລະ ຄົ້ນ​ຄວ້າ</t>
  </si>
  <si>
    <t>617 - Research and research fees</t>
  </si>
  <si>
    <t>6171 - ຄ່າ​ວິ​ໄຈ ແລະ ຄົ້ນ​ຄວ້າ</t>
  </si>
  <si>
    <t>6171 - Research and research fees</t>
  </si>
  <si>
    <t>618 - ​ຄ່າ​ປະ​ກອບ​ເອ​ກະ​ສານ ແລະ ອື່ນໆ​ທີ່​ຕິດ​ພັນ</t>
  </si>
  <si>
    <t>618 - Fees for documents and other related documents</t>
  </si>
  <si>
    <t>6181 - ​ຄ່າ​ປະ​ກອບ​ເອ​ກະ​ສານ ແລະ ອື່ນໆ​ທີ່​ຕິດ​ພັນ</t>
  </si>
  <si>
    <t>6181 - Fees for documents and other related documents</t>
  </si>
  <si>
    <t>6181.01 - ​ຄ່າ​ປະ​ກອບ​ເອ​ກະ​ສານ ແລະ ອື່ນໆ​ທີ່​ຕິດ​ພັນ -ຕົ້ນທຶນການບໍລິການ</t>
  </si>
  <si>
    <t>6181.01 - Document fees and other related fees - Service cost</t>
  </si>
  <si>
    <t>6181.02 - ​ຄ່າ​ປະ​ກອບ​ເອ​ກະ​ສານ ແລະ ອື່ນໆ​ທີ່​ຕິດ​ພັນ- ຄ່າໃຊ້ຈ່າຍການຂາຍການບໍລິການ</t>
  </si>
  <si>
    <t>6181.02 - Fees for documents and other related expenses - Cost of selling services</t>
  </si>
  <si>
    <t>6181.03 - ​ຄ່າ​ປະ​ກອບ​ເອ​ກະ​ສານ ແລະ ອື່ນໆ​ທີ່​ຕິດ​ພັນ - ຄ່າໃຊ້ຈ່າຍບໍລິຫານ</t>
  </si>
  <si>
    <t>6181.03 - Document fees and related expenses - Administrative expenses</t>
  </si>
  <si>
    <t>619 - ສ່ວນ​ຫຼຸດຕ່າງໆ​ ທີ່​ໄດ້​ຮັບ​ຈາກ​ທາງ​ນອກ</t>
  </si>
  <si>
    <t>619 - Various discounts received from outside</t>
  </si>
  <si>
    <t>6191 - ສ່ວນ​ຫຼຸດຕ່າງໆ​ ທີ່​ໄດ້​ຮັບ​ຈາກ​ທາງ​ນອກ</t>
  </si>
  <si>
    <t>6191 - Various discounts received from outside</t>
  </si>
  <si>
    <t>6191.01 - ສ່ວນ​ຫຼຸດຕ່າງໆ​ ທີ່​ໄດ້​ຮັບ​ຈາກ​ທາງ​ນອກ -ຕົ້ນທຶນການບໍລິການ</t>
  </si>
  <si>
    <t>6191.01 - Various discounts received from outside - Service cost</t>
  </si>
  <si>
    <t>6191.02 - ສ່ວນ​ຫຼຸດຕ່າງໆ​ ທີ່​ໄດ້​ຮັບ​ຈາກ​ທາງ​ນອກ- ຄ່າໃຊ້ຈ່າຍການຂາຍການບໍລິການ</t>
  </si>
  <si>
    <t>6191.02 - Discounts received from outside - Cost of selling services</t>
  </si>
  <si>
    <t>6191.03 - ສ່ວນ​ຫຼຸດຕ່າງໆ​ ທີ່​ໄດ້​ຮັບ​ຈາກ​ທາງ​ນອກ - ຄ່າໃຊ້ຈ່າຍບໍລິຫານ</t>
  </si>
  <si>
    <t>6191.03 - Discounts received from outside - Administrative expenses</t>
  </si>
  <si>
    <t>62 - ຄ່າບໍລິການ​​ອື່ນໆຈາກ​ທາງ​ນອກ</t>
  </si>
  <si>
    <t>62 - Other service charges from outside</t>
  </si>
  <si>
    <t>621 - ​ຄ່າຂົນ​ສົ່ງ​</t>
  </si>
  <si>
    <t>621 - Shipping costs</t>
  </si>
  <si>
    <t>6211 - ​ຄ່າຂົນ​ສົ່ງ​</t>
  </si>
  <si>
    <t>6211 - Shipping costs</t>
  </si>
  <si>
    <t>6211.01 - ​ຄ່າຂົນ​ສົ່ງ​ -ຕົ້ນທຶນການບໍລິການ</t>
  </si>
  <si>
    <t>6211.01 - Shipping cost - Service cost</t>
  </si>
  <si>
    <t>6211.02 - ​ຄ່າຂົນ​ສົ່ງ​ - ຄ່າໃຊ້ຈ່າຍການຂາຍການບໍລິການ</t>
  </si>
  <si>
    <t>6211.02 - Shipping costs - Cost of selling services</t>
  </si>
  <si>
    <t>6211.03 - ​ຄ່າຂົນ​ສົ່ງ​- ຄ່າໃຊ້ຈ່າຍບໍລິຫານ</t>
  </si>
  <si>
    <t>6211.03 - Shipping costs - administrative costs</t>
  </si>
  <si>
    <t>622 - ຄ່າ​ໂຄສະນາ​, ລົງ​ຂ່າວ, ໜັງສື​ພີ​ມ-ຈັດ​ພິມ, ​ປະຊາສຳພັນ</t>
  </si>
  <si>
    <t>622 - Cost of advertising, publishing, publication, public relations</t>
  </si>
  <si>
    <t>6221 - ຄ່າ​ໂຄສະນາ​, ລົງ​ຂ່າວ, ໜັງສື​ພີ​ມ-ຈັດ​ພິມ, ​ປະຊາສຳພັນ</t>
  </si>
  <si>
    <t>6221 - Cost of advertising, publishing, publishing, public relations</t>
  </si>
  <si>
    <t>6221.01 - ຄ່າ​ໂຄສະນາ​, ລົງ​ຂ່າວ, ໜັງສື​ພີ​ມ-ຈັດ​ພິມ, ​ປະຊາສຳພັນ -ຕົ້ນທຶນການບໍລິການ</t>
  </si>
  <si>
    <t>6221.01 - Cost of advertising, publishing, publication, public relations - cost of services</t>
  </si>
  <si>
    <t>6221.02 - ຄ່າ​ໂຄສະນາ​, ລົງ​ຂ່າວ, ໜັງສື​ພີ​ມ-ຈັດ​ພິມ, ​ປະຊາສຳພັນ- ຄ່າໃຊ້ຈ່າຍການຂາຍການບໍລິການ</t>
  </si>
  <si>
    <t>6221.02 - Cost of advertising, publishing, publication, public relations - cost of selling services</t>
  </si>
  <si>
    <t>6221.03 - ຄ່າ​ໂຄສະນາ​, ລົງ​ຂ່າວ, ໜັງສື​ພີ​ມ-ຈັດ​ພິມ, ​ປະຊາສຳພັນ - ຄ່າໃຊ້ຈ່າຍບໍລິຫານ</t>
  </si>
  <si>
    <t>6221.03 - Advertising, publishing, publication, public relations - administrative expenses</t>
  </si>
  <si>
    <t>6222 - ຄ່າກິດຈະກຳສົ່ງເສີມການຂາຍບໍລິການ</t>
  </si>
  <si>
    <t>6222 - Fees for service promotion activities</t>
  </si>
  <si>
    <t>6222.01 - ຄ່າກິດຈະກຳສົ່ງເສີມການຂາຍບໍລິການ -ຕົ້ນທຶນການບໍລິການ</t>
  </si>
  <si>
    <t>6222.01 - Cost of service promotion activities - cost of service</t>
  </si>
  <si>
    <t>6222.02 - ຄ່າກິດຈະກຳສົ່ງເສີມການຂາຍບໍລິການ - ຄ່າໃຊ້ຈ່າຍການຂາຍການບໍລິການ</t>
  </si>
  <si>
    <t>6222.02 - Fees for promotional activities for the sale of services - Fees for the sale of services</t>
  </si>
  <si>
    <t>6222.03 - ຄ່າກິດຈະກຳສົ່ງເສີມການຂາຍບໍລິການ - ຄ່າໃຊ້ຈ່າຍບໍລິຫານ</t>
  </si>
  <si>
    <t>6222.03 - Fees for service promotion activities - Administrative expenses</t>
  </si>
  <si>
    <t>623 - ຄ່າ​ໄປສະ​ນີ ແລະ ​ໂທລະ​ຄົມມະນາຄົມ</t>
  </si>
  <si>
    <t>623 - Postal and telecommunication fees</t>
  </si>
  <si>
    <t>6231 - ຄ່າ​ໄປສະ​ນີ ແລະ ​ໂທລະ​ຄົມມະນາຄົມ</t>
  </si>
  <si>
    <t>6231 - Postal and telecommunication fees</t>
  </si>
  <si>
    <t>6231.01 - ຄ່າ​ໄປສະ​ນີ (ຝາກເອກະສານ) -ຕົ້ນທຶນການບໍລິການ</t>
  </si>
  <si>
    <t>6231.01 - Postage (document deposit) - Service cost</t>
  </si>
  <si>
    <t>6231.02 - ຄ່າ​ໄປສະ​ນີ (ຝາກເອກະສານ)- ຄ່າໃຊ້ຈ່າຍການຂາຍການບໍລິການ</t>
  </si>
  <si>
    <t>6231.02 - Postage (depositing documents) - Cost of selling services</t>
  </si>
  <si>
    <t>6231.03 - ຄ່າ​ໄປສະ​ນີ (ຝາກເອກະສານ)- ຄ່າໃຊ້ຈ່າຍບໍລິຫານ</t>
  </si>
  <si>
    <t>6231.03 - Postage (depositing documents) - Administrative expenses</t>
  </si>
  <si>
    <t>6232 - ໂທລະ​ສັບ</t>
  </si>
  <si>
    <t>6232 - Telephone</t>
  </si>
  <si>
    <t>6232.01 - ໂທລະ​ສັບ - ຕົ້ນທຶນການບໍລິການ</t>
  </si>
  <si>
    <t>6232.01 - Telephone - Service cost</t>
  </si>
  <si>
    <t>6232.02 - ໂທລະ​ສັບ - ຄ່າໃຊ້ຈ່າຍການຂາຍການບໍລິການ</t>
  </si>
  <si>
    <t>6232.02 - Telephone - Cost of selling services</t>
  </si>
  <si>
    <t>6232.03 - ໂທລະ​ສັບ - ຄ່າໃຊ້ຈ່າຍບໍລິຫານ</t>
  </si>
  <si>
    <t>6232.03 - Telephone - Administrative expenses</t>
  </si>
  <si>
    <t>6233 - ອິນເຕີເນັດ</t>
  </si>
  <si>
    <t>6233 - Internet</t>
  </si>
  <si>
    <t>6233.01 - ອິນເຕີເນັດ - ຕົ້ນທຶນການບໍລິການ</t>
  </si>
  <si>
    <t>6233.01 - Internet - Service cost</t>
  </si>
  <si>
    <t>6233.02 - ອິນເຕີເນັດ - ຄ່າໃຊ້ຈ່າຍການຂາຍການບໍລິການ</t>
  </si>
  <si>
    <t>6233.02 - Internet - Cost of selling services</t>
  </si>
  <si>
    <t>6233.03 - ອິນເຕີເນັດ - ຄ່າໃຊ້ຈ່າຍບໍລິຫານ</t>
  </si>
  <si>
    <t>6233.03 - Internet - Administrative expenses</t>
  </si>
  <si>
    <t>624 - ຄ່າ​ນາຍ​ໜ້າ</t>
  </si>
  <si>
    <t>624 - Commission</t>
  </si>
  <si>
    <t>6241 - ຄ່າທີ່ປຶກສາ</t>
  </si>
  <si>
    <t>6241 - Consultant fees</t>
  </si>
  <si>
    <t>6241.01 - ຄ່າທີ່ປຶກສາ  - ຕົ້ນທຶນການບໍລິການ</t>
  </si>
  <si>
    <t>6241.01 - Consulting fee - Service cost</t>
  </si>
  <si>
    <t>6241.02 - ຄ່າທີ່ປຶກສາ - ຄ່າໃຊ້ຈ່າຍການຂາຍການບໍລິການ</t>
  </si>
  <si>
    <t>6241.02 - Consulting fees - Service sales expenses</t>
  </si>
  <si>
    <t>6241.03 - ຄ່າທີ່ປຶກສາ - ຄ່າໃຊ້ຈ່າຍບໍລິຫານ</t>
  </si>
  <si>
    <t>6241.03 - Consulting fees - Administrative expenses</t>
  </si>
  <si>
    <t>625 - ຄ່າ​ເດີນທາງ, ກອງ​ປະຊຸມ, ຮັບ​ແຂກ</t>
  </si>
  <si>
    <t>625 - Travel expenses, meetings, receiving guests</t>
  </si>
  <si>
    <t>6251 - ຄ່າ​ເດີນທາງ,</t>
  </si>
  <si>
    <t>6251 - Travel expenses,</t>
  </si>
  <si>
    <t>6251.01 - ຄ່າ​ເດີນທາງ - ຕົ້ນທຶນການບໍລິການ</t>
  </si>
  <si>
    <t>6251.01 - Travel expenses - Service cost</t>
  </si>
  <si>
    <t>6251.02 - ຄ່າ​ເດີນທາງ - ຄ່າໃຊ້ຈ່າຍການຂາຍການບໍລິການ</t>
  </si>
  <si>
    <t>6251.02 - Travel expenses - Service sales expenses</t>
  </si>
  <si>
    <t>6251.03 - ຄ່າ​ເດີນທາງ - ຄ່າໃຊ້ຈ່າຍບໍລິຫານ</t>
  </si>
  <si>
    <t>6251.03 - Travel expenses - Administrative expenses</t>
  </si>
  <si>
    <t>6252 - ກອງ​ປະຊຸມ,</t>
  </si>
  <si>
    <t>6252 - conference,</t>
  </si>
  <si>
    <t>6252.01 - ກອງ​ປະຊຸມ - ຕົ້ນທຶນການບໍລິການ</t>
  </si>
  <si>
    <t>6252.01 - Conference - Cost of services</t>
  </si>
  <si>
    <t>6252.02 - ກອງ​ປະຊຸມ - ຄ່າໃຊ້ຈ່າຍການຂາຍການບໍລິການ</t>
  </si>
  <si>
    <t>6252.02 - Conference - Cost of selling services</t>
  </si>
  <si>
    <t>6252.03 - ກອງ​ປະຊຸມ - ຄ່າໃຊ້ຈ່າຍບໍລິຫານ</t>
  </si>
  <si>
    <t>6252.03 - Conference - Administrative expenses</t>
  </si>
  <si>
    <t>6253 - ຮັບ​ແຂກ</t>
  </si>
  <si>
    <t>6253 - Receive guests</t>
  </si>
  <si>
    <t>6253.01 - ຄ່າຮັບ​ແຂກ - ຕົ້ນທຶນການບໍລິການ</t>
  </si>
  <si>
    <t>6253.01 - Guest reception fee - Service cost</t>
  </si>
  <si>
    <t>6253.02 - ຄ່າຮັບ​ແຂກ - ຄ່າໃຊ້ຈ່າຍການຂາຍການບໍລິການ</t>
  </si>
  <si>
    <t>6253.02 - Guest fees - Cost of selling services</t>
  </si>
  <si>
    <t>6253.03 - ຄ່າຮັບ​ແຂກ - ຄ່າໃຊ້ຈ່າຍບໍລິຫານ</t>
  </si>
  <si>
    <t>6253.03 - Guest fees - Administrative expenses</t>
  </si>
  <si>
    <t>626 - ວຽກງານ​ທາງ​ການ, ທັດສະນະ​ສຶກສາ, ​ຝຶກ​ອົບຮົມ ​ແລະ ອື່ນໆ</t>
  </si>
  <si>
    <t>626 - Official work, study tour, training, etc</t>
  </si>
  <si>
    <t>6261 - ວຽກງານ​ທາງ​ການ, ທັດສະນະ​ສຶກສາ, ​ຝຶກ​ອົບຮົມ ​ແລະ ອື່ນໆ</t>
  </si>
  <si>
    <t>6261 - Official work, study tour, training, etc</t>
  </si>
  <si>
    <t>6261.01 - ວຽກງານ​ທາງ​ການ, ທັດສະນະ​ສຶກສາ, ​ຝຶກ​ອົບຮົມ ​ແລະ ອື່ນໆ - ຕົ້ນທຶນການບໍລິການ</t>
  </si>
  <si>
    <t>6261.01 - Official work, study tours, training, etc. - Cost of services</t>
  </si>
  <si>
    <t>6261.02 - ວຽກງານ​ທາງ​ການ, ທັດສະນະ​ສຶກສາ, ​ຝຶກ​ອົບຮົມ ​ແລະ ອື່ນໆ - ຄ່າໃຊ້ຈ່າຍການຂາຍການບໍລິການ</t>
  </si>
  <si>
    <t>6261.02 - Official work, study tour, training, etc. - Cost of selling services</t>
  </si>
  <si>
    <t>6261.03 - ວຽກງານ​ທາງ​ການ, ທັດສະນະ​ສຶກສາ, ​ຝຶກ​ອົບຮົມ ​ແລະ ອື່ນໆ - ຄ່າໃຊ້ຈ່າຍບໍລິຫານ</t>
  </si>
  <si>
    <t>6261.03 - Official work, study tour, training, etc. - Administrative expenses</t>
  </si>
  <si>
    <t>627 - ຄ່າ​ທຳ​ນຽມ​ທະ​ນາ​ຄານ ແລະ ຄ່າ​ໃຊ້​ຈ່າຍ​ປະ​ເພດ​ດຽວ​ກັນ</t>
  </si>
  <si>
    <t>627 - Bank fees and similar expenses</t>
  </si>
  <si>
    <t>6271 - ຄ່າ​ທຳ​ນຽມ​ທະ​ນາ​ຄານ ແລະ ຄ່າ​ໃຊ້​ຈ່າຍ​ປະ​ເພດ​ດຽວ​ກັນ</t>
  </si>
  <si>
    <t>6271 - Bank charges and similar charges</t>
  </si>
  <si>
    <t>6271.03 - ຄ່າ​ທຳ​ນຽມ​ທະ​ນາ​ຄານ ພາຍໃນ - ຄ່າໃຊ້ຈ່າຍບໍລິຫານ</t>
  </si>
  <si>
    <t>6271.03 - Domestic bank fees - Administrative expenses</t>
  </si>
  <si>
    <t>6272 - ຄ່າ​ທຳ​ນຽມ​ທະ​ນາ​ຄານ ແລະ ຄ່າ​ໃຊ້​ຈ່າຍ​ປະ​ເພດ​ດຽວ​ກັນ</t>
  </si>
  <si>
    <t>6272 - Bank charges and similar charges</t>
  </si>
  <si>
    <t>6272.03 - ຄ່າ​ທຳ​ນຽມ​ທະ​ນາ​ຄານ ໂອນຕ່າງປະເທດ - ຄ່າໃຊ້ຈ່າຍບໍລິຫານ</t>
  </si>
  <si>
    <t>6272.03 - Bank fees for foreign transfers - Administrative expenses</t>
  </si>
  <si>
    <t>628 - ​ຄ່າ​ບໍລິການອື່ນໆ</t>
  </si>
  <si>
    <t>628 - Other service charges</t>
  </si>
  <si>
    <t>6281 - ​ຄ່າ​ບໍລິການອື່ນໆ</t>
  </si>
  <si>
    <t>6281 - Other service charges</t>
  </si>
  <si>
    <t>6281.01 - ​ຄ່າ​ບໍລິການອື່ນໆ -ຕົ້ນທຶນການບໍລິການ</t>
  </si>
  <si>
    <t>6281.01 - Other service charges - Service cost</t>
  </si>
  <si>
    <t>6281.02 - ​ຄ່າ​ບໍລິການອື່ນໆ - ຄ່າໃຊ້ຈ່າຍການຂາຍການບໍລິການ</t>
  </si>
  <si>
    <t>6281.02 - Other service charges - Cost of selling services</t>
  </si>
  <si>
    <t>6281.03 - ​ຄ່າ​ບໍລິການອື່ນໆ - ຄ່າໃຊ້ຈ່າຍບໍລິຫານ</t>
  </si>
  <si>
    <t>6281.03 - Other service charges - Administrative expenses</t>
  </si>
  <si>
    <t>629 - ສ່ວນ​ຫຼຸດ​ຕ່າງໆ ທີ່​ໄດ້​ຮັບ​ໃນ​ການ​ບໍລິການອື່ນໆຈາ​ກທາງ​ນອກ​</t>
  </si>
  <si>
    <t>629 - Various discounts received in other services from outside</t>
  </si>
  <si>
    <t>6291 - ສ່ວນ​ຫຼຸດ​ຕ່າງໆ ທີ່​ໄດ້​ຮັບ​ໃນ​ການ​ບໍລິການອື່ນໆຈາ​ກທາງ​ນອກ​</t>
  </si>
  <si>
    <t>6291 - Various discounts received in other services from outside</t>
  </si>
  <si>
    <t>6291.01 - ສ່ວນ​ຫຼຸດ​ຕ່າງໆ ທີ່​ໄດ້​ຮັບ​ໃນ​ການ​ບໍລິການອື່ນໆຈາ​ກທາງ​ນອກ​ -ຕົ້ນທຶນການບໍລິການ</t>
  </si>
  <si>
    <t>6291.01 - Various discounts received in other services from outside - Service cos</t>
  </si>
  <si>
    <t>6291.02 - ສ່ວນ​ຫຼຸດ​ຕ່າງໆ ທີ່​ໄດ້​ຮັບ​ໃນ​ການ​ບໍລິການອື່ນໆຈາ​ກທາງ​ນອກ​ - ຄ່າໃຊ້ຈ່າຍການຂາຍການບໍລິການ</t>
  </si>
  <si>
    <t>6291.02 - Various discounts received on other services from outside - Cost of selling services</t>
  </si>
  <si>
    <t>6291.03 - ສ່ວນ​ຫຼຸດ​ຕ່າງໆ ທີ່​ໄດ້​ຮັບ​ໃນ​ການ​ບໍລິການອື່ນໆຈາ​ກທາງ​ນອກ​ - ຄ່າໃຊ້ຈ່າຍບໍລິຫານ</t>
  </si>
  <si>
    <t>6291.03 - Discounts received on other services from outside - Administrative expenses</t>
  </si>
  <si>
    <t>63 - ຄ່າ​ໃຊ້​​ຈ່າຍ​ໃຫ້​ພະນັກງານ</t>
  </si>
  <si>
    <t>63 - Expenses for employees</t>
  </si>
  <si>
    <t>631 - ຄ່າ​ທົດ​ແທນ​ແຮງ​ງານ ໃຫ້​ພະນັກງານ</t>
  </si>
  <si>
    <t>631 - Labor compensation for employees</t>
  </si>
  <si>
    <t>6311 - ຄ່າ​ທົດ​ແທນ​ແຮງ​ງານ ໃຫ້​ພະນັກງານ</t>
  </si>
  <si>
    <t>6311 - Labor compensation for employees</t>
  </si>
  <si>
    <t>6311.01 - ຄ່າ​ທົດ​ແທນ​ແຮງ​ງານ ໃຫ້​ພະນັກງານ - ຕົ້ນທຶນການບໍລິການ</t>
  </si>
  <si>
    <t>6311.01 - Labor compensation for employees - Service cost</t>
  </si>
  <si>
    <t>6311.02 - ຄ່າ​ທົດ​ແທນ​ແຮງ​ງານ ໃຫ້​ພະນັກງານ - ຄ່າໃຊ້ຈ່າຍການຂາຍການບໍລິການ</t>
  </si>
  <si>
    <t>6311.02 - Labor compensation for employees - Cost of selling services</t>
  </si>
  <si>
    <t>6311.03 - ຄ່າ​ທົດ​ແທນ​ແຮງ​ງານ ໃຫ້​ພະນັກງານ - ຄ່າໃຊ້ຈ່າຍບໍລິຫານ</t>
  </si>
  <si>
    <t>6311.03 - Labor compensation for employees - Administrative expenses</t>
  </si>
  <si>
    <t>632 - ​ເງິນບຳ​ເນັດ​ ​ແລະ ຍ້ອງຍໍ</t>
  </si>
  <si>
    <t>632 - Remuneration and praise</t>
  </si>
  <si>
    <t>6321 - ​ເງິນບຳ​ເນັດ​ ​ແລະ ຍ້ອງຍໍ</t>
  </si>
  <si>
    <t>6321 - Remuneration and praise</t>
  </si>
  <si>
    <t>6321.03 - ​ເງິນບຳ​ເນັດ​ ​ແລະ ຍ້ອງຍໍ</t>
  </si>
  <si>
    <t>6321.03 - Remuneration and praise</t>
  </si>
  <si>
    <t>633 - ​ເງິນນະ​​ໂຍບາຍ​ພັກ​ຜ່ອນ ​ແລະ ສະຫວັດດີການ</t>
  </si>
  <si>
    <t>633 - Vacation and welfare policy funds</t>
  </si>
  <si>
    <t>6331 - ​ເງິນນະ​​ໂຍບາຍ​ພັກ​ຜ່ອນ ​ແລະ ສະຫວັດດີການ</t>
  </si>
  <si>
    <t>6331 - Vacation and welfare policy funds</t>
  </si>
  <si>
    <t>6331.03 - ​ເງິນນະ​​ໂຍບາຍ​ພັກ​ຜ່ອນ ​ແລະ ສະຫວັດດີການ</t>
  </si>
  <si>
    <t>6331.03 - Vacation and welfare policy funds</t>
  </si>
  <si>
    <t>634 - ຜົນ​ປະ​ໂຫຍດ​ດ້ານ​ວັດ​ຖຸ</t>
  </si>
  <si>
    <t>634 - Material benefits</t>
  </si>
  <si>
    <t>6341 - ຜົນ​ປະ​ໂຫຍດ​ດ້ານ​ວັດ​ຖຸ ໃຫ້​ພະນັກງານ</t>
  </si>
  <si>
    <t>6341 - Material benefits for employees</t>
  </si>
  <si>
    <t>6341.01 - ຜົນ​ປະ​ໂຫຍດ​ດ້ານ​ວັດ​ຖຸ ໃຫ້​ພະນັກງານ - ຕົ້ນທຶນການບໍລິການ</t>
  </si>
  <si>
    <t>6341.01 - Material benefits for employees - Cost of services</t>
  </si>
  <si>
    <t>6341.02 - ຜົນ​ປະ​ໂຫຍດ​ດ້ານ​ວັດ​ຖຸ ໃຫ້​ພະນັກງານ - ຄ່າໃຊ້ຈ່າຍການຂາຍການບໍລິການ</t>
  </si>
  <si>
    <t>6341.02 - Material benefits to employees - Cost of selling services</t>
  </si>
  <si>
    <t>6341.03 - ຜົນ​ປະ​ໂຫຍດ​ດ້ານ​ວັດ​ຖຸ ໃຫ້​ພະນັກງານ - ຄ່າໃຊ້ຈ່າຍບໍລິຫານ</t>
  </si>
  <si>
    <t>6341.03 - Material benefits for employees - Administrative expenses</t>
  </si>
  <si>
    <t>635 - ​ເງິນ​ບຳລຸງ​ໃຫ້​ອົງການ​ປະກັນ​ສັງຄົມ</t>
  </si>
  <si>
    <t>635 - Maintenance money for social security organizations</t>
  </si>
  <si>
    <t>6351 - ​ເງິນ​ບຳລຸງ​ໃຫ້​ອົງການ​ປະກັນ​ສັງຄົມ</t>
  </si>
  <si>
    <t>6351 - Maintenance money for social security organizations</t>
  </si>
  <si>
    <t>6351.01 - ​ເງິນ​ບຳລຸງ​ໃຫ້​ອົງການ​ປະກັນ​ສັງຄົມ - ຕົ້ນທຶນການບໍລິການ</t>
  </si>
  <si>
    <t>6351.01 - Maintenance money for social security organizations - Service cost</t>
  </si>
  <si>
    <t>6351.02 - ​ເງິນ​ບຳລຸງ​ໃຫ້​ອົງການ​ປະກັນ​ສັງຄົມ - ຄ່າໃຊ້ຈ່າຍການຂາຍການບໍລິການ</t>
  </si>
  <si>
    <t>6351.02 - Maintenance money for social security organizations - Cost of selling services</t>
  </si>
  <si>
    <t>6351.03 - ​ເງິນ​ບຳລຸງ​ໃຫ້​ອົງການ​ປະກັນ​ສັງຄົມ - ຄ່າໃຊ້ຈ່າຍບໍລິຫານ</t>
  </si>
  <si>
    <t>6351.03 - Maintenance money for social security organizations - Administrative expenses</t>
  </si>
  <si>
    <t>636 - ເງິນ​ນະ​ໂຍ​ບາຍ​ຕ່າງໆ</t>
  </si>
  <si>
    <t>636 - Money for various policies</t>
  </si>
  <si>
    <t>6361 - ເງິນ​ນະ​ໂຍ​ບາຍ​ຕ່າງໆ ຊຸດເຄື່ອງແບບພະນັກງານ</t>
  </si>
  <si>
    <t>6361 - Various policies, employee uniforms</t>
  </si>
  <si>
    <t>6361.01 - ເງິນ​ນະ​ໂຍ​ບາຍ​ຕ່າງໆ ຊຸດເຄື່ອງແບບພະນັກງານ- ຕົ້ນທຶນການບໍລິການ</t>
  </si>
  <si>
    <t>6361.01 - Various policies, staff uniforms - service cost</t>
  </si>
  <si>
    <t>6361.02 - ເງິນ​ນະ​ໂຍ​ບາຍ​ຕ່າງໆ ຊຸດເຄື່ອງແບບພະນັກງານ- ຄ່າໃຊ້ຈ່າຍການຂາຍການບໍລິການ</t>
  </si>
  <si>
    <t>6361.02 - Various policies, staff uniforms - Cost of selling services</t>
  </si>
  <si>
    <t>6361.03 - ເງິນ​ນະ​ໂຍ​ບາຍ​ຕ່າງໆ ຊຸດເຄື່ອງແບບພະນັກງານ- ຄ່າໃຊ້ຈ່າຍບໍລິຫານ</t>
  </si>
  <si>
    <t>6361.03 - Various policies, staff uniforms - administrative expenses</t>
  </si>
  <si>
    <t>6362 - ເງິນ​ນະ​ໂຍ​ບາຍ​ຕ່າງໆ (ເຄັກວັນເກີດ, ແຕ່ງງານ,ເກີດລູກ,ຄອບຄົວເສຍຊີວິດ)</t>
  </si>
  <si>
    <t>6362 - Various policies (birthday cakes, weddings, births, family deaths)</t>
  </si>
  <si>
    <t>6362.01 - ເງິນ​ນະ​ໂຍ​ບາຍ​ຕ່າງໆ (ເຄັກວັນເກີດ, ແຕ່ງງານ,ເກີດລູກ,ຄອບຄົວເສຍຊີວິດ)- ຕົ້ນທຶນການບໍລິການ</t>
  </si>
  <si>
    <t>6362.01 - Various policies (birthday cake, wedding, childbirth, family death) - service cost</t>
  </si>
  <si>
    <t>6362.02 - ເງິນ​ນະ​ໂຍ​ບາຍ​ຕ່າງໆ (ເຄັກວັນເກີດ, ແຕ່ງງານ,ເກີດລູກ,ຄອບຄົວເສຍຊີວິດ) - ຄ່າໃຊ້ຈ່າຍການຂາຍການບໍລິການ</t>
  </si>
  <si>
    <t>6362.02 - Various policies (birthday cakes, weddings, births, family deaths) - Cost of selling services</t>
  </si>
  <si>
    <t>6362.03 - ເງິນ​ນະ​ໂຍ​ບາຍ​ຕ່າງໆ (ເຄັກວັນເກີດ, ແຕ່ງງານ,ເກີດລູກ,ຄອບຄົວເສຍຊີວິດ)- ຄ່າໃຊ້ຈ່າຍບໍລິຫານ</t>
  </si>
  <si>
    <t>6362.03 - Various policies (birthday cakes, weddings, births, family deaths) - administrative expenses</t>
  </si>
  <si>
    <t>6363 - ເງິນ​ນະ​ໂຍ​ບາຍ​ຕ່າງໆ ດ້ານສຸຂະພາບ</t>
  </si>
  <si>
    <t>6363 - Money for various health policies</t>
  </si>
  <si>
    <t>6363.01 - ເງິນ​ນະ​ໂຍ​ບາຍ​ຕ່າງໆ - ຕົ້ນທຶນການບໍລິການ</t>
  </si>
  <si>
    <t>6363.01 - Various policies - Cost of services</t>
  </si>
  <si>
    <t>6363.02 - ເງິນ​ນະ​ໂຍ​ບາຍ​ຕ່າງໆ - ຄ່າໃຊ້ຈ່າຍການຂາຍການບໍລິການ</t>
  </si>
  <si>
    <t>6363.02 - Various policy fees - Cost of selling services</t>
  </si>
  <si>
    <t>6363.03 - ເງິນ​ນະ​ໂຍ​ບາຍ​ຕ່າງໆ - ຄ່າໃຊ້ຈ່າຍບໍລິຫານ</t>
  </si>
  <si>
    <t>6363.03 - Various policies - Administrative expenses</t>
  </si>
  <si>
    <t>637 - ລາຍ​ຈ່າຍ​ດ້ານ​ສັງ​ຄົມອື່ນໆ</t>
  </si>
  <si>
    <t>637 - Other social expenses</t>
  </si>
  <si>
    <t>6371 - ລາຍ​ຈ່າຍ​ດ້ານ​ສັງ​ຄົມອື່ນໆ</t>
  </si>
  <si>
    <t>6371 - Other social expenses</t>
  </si>
  <si>
    <t>6371.01 - ລາຍ​ຈ່າຍ​ອຸດໜູນດ້ານ​ສັງ​ຄົມອື່ນໆ - ຕົ້ນທຶນການບໍລິການ</t>
  </si>
  <si>
    <t>6371.01 - Other social support expenses - Service cost</t>
  </si>
  <si>
    <t>6371.02 - ລາຍ​ຈ່າຍ​ອຸດໜູນດ້ານ​ສັງ​ຄົມອື່ນໆ - ຄ່າໃຊ້ຈ່າຍການຂາຍການບໍລິການ</t>
  </si>
  <si>
    <t>6371.02 - Other social support expenses - Cost of selling services</t>
  </si>
  <si>
    <t>6371.03 - ລາຍ​ຈ່າຍ​ອຸດໜູນດ້ານ​ສັງ​ຄົມອື່ນໆ - ຄ່າໃຊ້ຈ່າຍບໍລິຫານ</t>
  </si>
  <si>
    <t>6371.03 - Other social support expenses - Administrative expenses</t>
  </si>
  <si>
    <t>638 - ​ລາຍ​ຈ່າຍ​ອື່ນໆໃຫ້​ພະນັກງານ</t>
  </si>
  <si>
    <t>638 - Other expenses for employees</t>
  </si>
  <si>
    <t>6381 - ​ລາຍ​ຈ່າຍ​ອື່ນໆໃຫ້​ພະນັກງານ</t>
  </si>
  <si>
    <t>6381 - Other expenses for employees</t>
  </si>
  <si>
    <t>6381.01 - ​ລາຍ​ຈ່າຍ​ອື່ນໆໃຫ້​ພະນັກງານ - ຕົ້ນທຶນການບໍລິການ</t>
  </si>
  <si>
    <t>6381.01 - Other expenses for employees - Service cost</t>
  </si>
  <si>
    <t>6381.02 - ​ລາຍ​ຈ່າຍ​ອື່ນໆໃຫ້​ພະນັກງານ - ຄ່າໃຊ້ຈ່າຍການຂາຍການບໍລິການ</t>
  </si>
  <si>
    <t>6381.02 - Other expenses for employees - Cost of selling services</t>
  </si>
  <si>
    <t>6381.03 - ​ລາຍ​ຈ່າຍ​ອື່ນໆໃຫ້​ພະນັກງານ - ຄ່າໃຊ້ຈ່າຍບໍລິຫານ</t>
  </si>
  <si>
    <t>6381.03 - Other expenses for employees - Administrative expenses</t>
  </si>
  <si>
    <t>6382 - ​ລາຍ​ຈ່າຍ​ອື່ນໆໃຫ້​ພະນັກງານ ຈ່າຍໂບນັດພະນັກງານ</t>
  </si>
  <si>
    <t>6382 - Other expenses for employees to pay employee bonuses</t>
  </si>
  <si>
    <t>6382.01 - ​ລາຍ​ຈ່າຍ​ອື່ນໆໃຫ້​ພະນັກງານ ຈ່າຍໂບນັດພະນັກງານ - ຕົ້ນທຶນການບໍລິການ</t>
  </si>
  <si>
    <t>6382.01 - Other expenses for employees, payment of employee bonuses - cost of services</t>
  </si>
  <si>
    <t>6382.02 - ​ລາຍ​ຈ່າຍ​ອື່ນໆໃຫ້​ພະນັກງານ ຈ່າຍໂບນັດພະນັກງານ - ຄ່າໃຊ້ຈ່າຍການຂາຍການບໍລິການ</t>
  </si>
  <si>
    <t>6382.02 - Other expenses for employees, payment of employee bonuses - Cost of selling services</t>
  </si>
  <si>
    <t>6382.03 - ​ລາຍ​ຈ່າຍ​ອື່ນໆໃຫ້​ພະນັກງານ ຈ່າຍໂບນັດພະນັກງານ - ຄ່າໃຊ້ຈ່າຍບໍລິຫານ</t>
  </si>
  <si>
    <t>6382.03 - Other expenses for employees, payment of employee bonuses - administrative expenses</t>
  </si>
  <si>
    <t>6383 - ​ລາຍ​ຈ່າຍ​ອື່ນໆໃຫ້​ພະນັກງານ ຄ່າກິດຈະກຳ ກິລາ ແລະ ທ່ອງທ່ຽວ</t>
  </si>
  <si>
    <t>6383 - Other expenses for employees for activities, sports and tourism</t>
  </si>
  <si>
    <t>6383.01 - ​ລາຍ​ຈ່າຍ​ອື່ນໆໃຫ້​ພະນັກງານ ຄ່າກິດຈະກຳ ກິລາ ແລະ ທ່ອງທ່ຽວ - ຕົ້ນທຶນການບໍລິການ</t>
  </si>
  <si>
    <t>6383.01 - Other expenses for employees, sports and tourism activities - service costs</t>
  </si>
  <si>
    <t>6383.02 - ​ລາຍ​ຈ່າຍ​ອື່ນໆໃຫ້​ພະນັກງານ ຄ່າກິດຈະກຳ ກິລາ ແລະ ທ່ອງທ່ຽວ - ຄ່າໃຊ້ຈ່າຍການຂາຍການບໍລິການ</t>
  </si>
  <si>
    <t>6383.02 - Other expenses for employees, sports and tourism activities - Service sales expenses</t>
  </si>
  <si>
    <t>6383.03 - ​ລາຍ​ຈ່າຍ​ອື່ນໆໃຫ້​ພະນັກງານ ຄ່າກິດຈະກຳ ກິລາ ແລະ ທ່ອງທ່ຽວ - ຄ່າໃຊ້ຈ່າຍບໍລິຫານ</t>
  </si>
  <si>
    <t>6383.03 - Other expenses for employees Sports and tourism activities - Administrative expenses</t>
  </si>
  <si>
    <t>64 - ຄ່າ​ພາ​ສີ-ອາກອນ, ຄ່າ​ທຳນຽມ ​ແລະ ອື່ນໆ ປະ​ເພດ​ດຽວ​ກັນ</t>
  </si>
  <si>
    <t>64 - Taxes, fees, etc. of the same type</t>
  </si>
  <si>
    <t>641 - ພາສີຂາເຂົ້າ</t>
  </si>
  <si>
    <t>641 - Import tax</t>
  </si>
  <si>
    <t>6411 - ພາສີຂາເຂົ້າ</t>
  </si>
  <si>
    <t>6411 - Import tax</t>
  </si>
  <si>
    <t>6411.01 - ພາ​ສີ​ທີ່​ດິນ ແລະ ປະ​ເພດ​ດຽວ​ກັນ - ຕົ້ນທຶນການບໍລິການ</t>
  </si>
  <si>
    <t>6411.01 - Land and similar tax - Service cost</t>
  </si>
  <si>
    <t>6411.02 - ພາ​ສີ​ທີ່​ດິນ ແລະ ປະ​ເພດ​ດຽວ​ກັນ - ຄ່າໃຊ້ຈ່າຍການຂາຍການບໍລິການ</t>
  </si>
  <si>
    <t>6411.02 - Land and similar taxes - Cost of sale of services</t>
  </si>
  <si>
    <t>6411.03 - ພາ​ສີ​ທີ່​ດິນ ແລະ ປະ​ເພດ​ດຽວ​ກັນ - ຄ່າໃຊ້ຈ່າຍບໍລິຫານ</t>
  </si>
  <si>
    <t>6411.03 - Land and similar taxes - Administrative expenses</t>
  </si>
  <si>
    <t>642 - ພາສີຂາອອກ</t>
  </si>
  <si>
    <t>642 - Export tax</t>
  </si>
  <si>
    <t>6421 - ພາສີຂາອອກ</t>
  </si>
  <si>
    <t>6421 - Export tax</t>
  </si>
  <si>
    <t>6421.03 - ພາສີຂາອອກ</t>
  </si>
  <si>
    <t>6421.03 - Export tax</t>
  </si>
  <si>
    <t>643 - ອມພ ຫັກ​ອອກບໍ່ໄດ້</t>
  </si>
  <si>
    <t>643 - Omp cannot be deducted</t>
  </si>
  <si>
    <t>6431 - ອມພ ຫັກ​ອອກບໍ່ໄດ້</t>
  </si>
  <si>
    <t>6431 - Omp is not deductible</t>
  </si>
  <si>
    <t>6431.03 - ອມພ ຫັກ​ອອກບໍ່ໄດ້</t>
  </si>
  <si>
    <t>6431.03 - Non-deductible benefits</t>
  </si>
  <si>
    <t>644 - ພາ​ສີ​ທີ່​ດິນ ແລະ ປະ​ເພດ​ດຽວ​ກັນ</t>
  </si>
  <si>
    <t>644 - Land tax and the same type</t>
  </si>
  <si>
    <t>6441 - ພາ​ສີ​ທີ່​ດິນ ແລະ ປະ​ເພດ​ດຽວ​ກັນ</t>
  </si>
  <si>
    <t>6441 - Land tax and the same type</t>
  </si>
  <si>
    <t>6441.03 - ພາ​ສີ​ທີ່​ດິນ ແລະ ປະ​ເພດ​ດຽວ​ກັນ</t>
  </si>
  <si>
    <t>6441.03 - Land tax and the same type</t>
  </si>
  <si>
    <t>647 - ຄ່າທຳນຽມ ແລະ ອາກອນສະແຕມ</t>
  </si>
  <si>
    <t>647 - Fees and Stamp Duty</t>
  </si>
  <si>
    <t>6471 - ຄ່າທຳນຽມ ແລະ ອາກອນສະແຕມ</t>
  </si>
  <si>
    <t>6471 - Fees and Stamp Duty</t>
  </si>
  <si>
    <t>6471.01 - ຄ່າທຳນຽມ ແລະ ອາກອນສະແຕມ - ຕົ້ນທຶນການບໍລິການ</t>
  </si>
  <si>
    <t>6471.01 - Fees and stamp duty - Cost of service</t>
  </si>
  <si>
    <t>6471.02 - ຄ່າທຳນຽມ ແລະ ອາກອນສະແຕມ - ຄ່າໃຊ້ຈ່າຍການຂາຍການບໍລິການ</t>
  </si>
  <si>
    <t>6471.02 - Fees and Stamp Tax - Cost of selling services</t>
  </si>
  <si>
    <t>6471.03 - ຄ່າທຳນຽມ ແລະ ອາກອນສະແຕມ - ຄ່າໃຊ້ຈ່າຍບໍລິຫານ</t>
  </si>
  <si>
    <t>6471.03 - Fees and Stamp Tax - Administrative Expenses</t>
  </si>
  <si>
    <t>648 - ອາກອນ ແລະ ຄ່າທຳນຽມອື່ນໆ</t>
  </si>
  <si>
    <t>648 - Taxes and other fees</t>
  </si>
  <si>
    <t>6481 - ອາກອນ ແລະ ຄ່າທຳນຽມອື່ນໆ</t>
  </si>
  <si>
    <t>6481 - Other taxes and fees</t>
  </si>
  <si>
    <t>6481.01 - ອາກອນ ແລະ ຄ່າທຳນຽມອື່ນໆ -ຕົ້ນທຶນການບໍລິການ</t>
  </si>
  <si>
    <t>6481.01 - Taxes and other fees - Cost of services</t>
  </si>
  <si>
    <t>6481.02 - ອາກອນ ແລະ ຄ່າທຳນຽມອື່ນໆ - ຄ່າໃຊ້ຈ່າຍການຂາຍການບໍລິການ</t>
  </si>
  <si>
    <t>6481.02 - Taxes and other fees - Cost of selling services</t>
  </si>
  <si>
    <t>6481.03 - ອາກອນ ແລະ ຄ່າທຳນຽມອື່ນໆ - ຄ່າໃຊ້ຈ່າຍບໍລິຫານ</t>
  </si>
  <si>
    <t>6481.03 - Taxes and other fees - Administrative expenses</t>
  </si>
  <si>
    <t>6482 - ພັນທະບໍລິການ ສຳລັບ ຕູ້ສິນຄ້າ ຜ່ານແດນສາກົນ Transit</t>
  </si>
  <si>
    <t>6482 - Service obligations for international transit containers</t>
  </si>
  <si>
    <t>6482.01 - ພັນທະບໍລິການ ສຳລັບ ຕູ້ສິນຄ້າ ຜ່ານແດນສາກົນ Transit -ຕົ້ນທຶນການບໍລິການ</t>
  </si>
  <si>
    <t>6482.01 - Service obligations for international transit containers - cost of service</t>
  </si>
  <si>
    <t>6483 - "ພັນທະບໍລິການ ສຳລັບ ຕູ້ສິນຄ້ານຳເຂົ້າ ເພື່ອສົ່ງອອກຕໍ່ "</t>
  </si>
  <si>
    <t>6483 - "Service Obligation for Containers Imported for Export"</t>
  </si>
  <si>
    <t>6483.01 - ພັນທະບໍລິການ ສຳລັບ ຕູ້ສິນຄ້ານຳເຂົ້າ ເພື່ອສົ່ງອອກຕໍ່ -ຕົ້ນທຶນການບໍລິການ</t>
  </si>
  <si>
    <t>6483.01 - Service Obligation for Containers Imported for Export - Cost of Service</t>
  </si>
  <si>
    <t>6484 - "ພັນທະບໍລິການ ສຳລັບຕູ້ສິນຄ້າ  ສົ່ງອອກທາງລົດໄຟ  "</t>
  </si>
  <si>
    <t>6484 - "Service Obligation for Rail Export Containers"</t>
  </si>
  <si>
    <t>6484.01 - "ພັນທະບໍລິການ ສຳລັບຕູ້ສິນຄ້າ  ສົ່ງອອກທາງລົດໄຟ  "</t>
  </si>
  <si>
    <t>6484.01 - "Service Obligation for Rail Export Containers"</t>
  </si>
  <si>
    <t>6485 - "ພັນທະບໍລິການ ສຳລັບຕູ້ສິນຄ້າ  ນຳເຂົ້າທາງລົດໄຟ "</t>
  </si>
  <si>
    <t>6485 - "Service Obligation for Railway Import Containers"</t>
  </si>
  <si>
    <t>6485.01 - "ພັນທະບໍລິການ ສຳລັບຕູ້ສິນຄ້າ  ນຳເຂົ້າທາງລົດໄຟ "</t>
  </si>
  <si>
    <t>6485.01 - "Service Obligation for Railway Import Containers"</t>
  </si>
  <si>
    <t>6486 - "ຄ່າບໍລິຫານຈັດການລົດຂາເຂົ້າດ່ານ TDP "</t>
  </si>
  <si>
    <t>6486 - "Administrative fee for handling vehicles entering TDP checkpoint"</t>
  </si>
  <si>
    <t>6486.01 - "ຄ່າບໍລິຫານຈັດການລົດຂາເຂົ້າດ່ານ TDP "</t>
  </si>
  <si>
    <t>6486.01 - "Administrative fees for handling vehicles entering the TDP checkpoint"</t>
  </si>
  <si>
    <t>66 - ລາຍ​ຈ່າຍການ​ເງິນ</t>
  </si>
  <si>
    <t>66 - Financial expenses</t>
  </si>
  <si>
    <t>661 - ລາຍ​ຈ່າຍ​ດອກເບ້ຽ</t>
  </si>
  <si>
    <t>661 - Interest expense</t>
  </si>
  <si>
    <t>6611 - ລາຍ​ຈ່າຍ​ດອກເບ້ຽ</t>
  </si>
  <si>
    <t>6611 - Interest expenses</t>
  </si>
  <si>
    <t>6611.03 - ລາຍ​ຈ່າຍ​ດອກເບ້ຽ - ຄ່າໃຊ້ຈ່າຍບໍລິຫານ</t>
  </si>
  <si>
    <t>6611.03 - Interest expenses - Administrative expenses</t>
  </si>
  <si>
    <t>662 - ສ່ວນຫຼຸດການ​ຊຳ​ລະ​ສະ​ສາງ</t>
  </si>
  <si>
    <t>662 - Inventory payment discount</t>
  </si>
  <si>
    <t>6621 - ສ່ວນຫຼຸດການ​ຊຳ​ລະ​ສະ​ສາງ</t>
  </si>
  <si>
    <t>6621 - Inventory clearance discount</t>
  </si>
  <si>
    <t>6621.01 - ສ່ວນຫຼຸດການ​ຊຳ​ລະ​ສະ​ສາງ</t>
  </si>
  <si>
    <t>6621.01 - Inventory payment discount</t>
  </si>
  <si>
    <t>663 - ຂາດ​ທຶນ​ຈາກ​ອັດຕາ​ແລກປ່ຽນ​​ເງິນ​ຕາ</t>
  </si>
  <si>
    <t>663 - Lack of capital from currency exchange rate</t>
  </si>
  <si>
    <t>6631 - ຂາດ​ທຶນ​ຈາກ​ອັດຕາ​ແລກປ່ຽນ​​ເງິນ​ຕາ</t>
  </si>
  <si>
    <t>6631 - Lack of capital from currency exchange rate</t>
  </si>
  <si>
    <t>6631.01 - ຂາດ​ທຶນ​ຈາກ​ອັດຕາ​ແລກປ່ຽນ​​ເງິນ​ຕາ</t>
  </si>
  <si>
    <t>6631.01 - Lack of capital from currency exchange rate</t>
  </si>
  <si>
    <t>6631.02 - ຂາດ​ທຶນ​ຈາກ​ອັດຕາ​ແລກປ່ຽນ​​ ຊຳລະໜີ້ຜູ້ສະໜອງ</t>
  </si>
  <si>
    <t>6631.02 - Lack of capital from the exchange rate, payment of debts to suppliers</t>
  </si>
  <si>
    <t>6631.03 - ຂາດ​ທຶນ​ຈາກ​ອັດຕາ​ແລກປ່ຽນ​​ເງິນ​ຕາ ລູກຄ້າຊຳລະໜີ້</t>
  </si>
  <si>
    <t>6631.03 - Lack of capital due to currency exchange rate, customer paying debt</t>
  </si>
  <si>
    <t>6631.04 - ຂາດທຶນຈາກອັດຕາແລກປ່ຽນ - Unrealize</t>
  </si>
  <si>
    <t>6631.04 - Lack of funds from the exchange rate - Unrealize</t>
  </si>
  <si>
    <t>664 - ສ່ວນ​ປ່ຽນ​ແປງ ມູນ​ຄ່າ​ຍຸ​ຕິ​ທຳ ຂອງ​ເງິນ​ລົງ​ທຶນ ໃນ​ວິ​ສາ​ຫະ​ກິດ​ຂາ​ຮຸ້ນ</t>
  </si>
  <si>
    <t>664 - Changes in the fair value of investment in joint ventures</t>
  </si>
  <si>
    <t>6641 - ສ່ວນ​ປ່ຽນ​ແປງ ມູນ​ຄ່າ​ຍຸ​ຕິ​ທຳ ຂອງ​ເງິນ​ລົງ​ທຶນ ໃນ​ວິ​ສາ​ຫະ​ກິດ​ຂາ​ຮຸ້ນ</t>
  </si>
  <si>
    <t>6641 - Changes in the fair value of investment in joint ventures</t>
  </si>
  <si>
    <t>665 - ມູນ​ຄ່າ​ສ່ວນຫຼຸດ ບ້ວງຫຼັກ​ຊັບ​ລົງ​ທຶນ</t>
  </si>
  <si>
    <t>665 - Discount value of investment stock</t>
  </si>
  <si>
    <t>6651 - ມູນ​ຄ່າ​ສ່ວນຫຼຸດ ບ້ວງຫຼັກ​ຊັບ​ລົງ​ທຶນ</t>
  </si>
  <si>
    <t>6651 - Discount value for investment securities</t>
  </si>
  <si>
    <t>666 - ມູນ​ຄ່າ​ສ່ວນ​ຫຼຸດ ​ເຄື່ອງມື​ການ​ເງິນ ແລະ ​ເຄື່ອງມື​ປະ​ເພດ​ດຽວກັນ</t>
  </si>
  <si>
    <t>666 - Discount value of financial instruments and similar instruments</t>
  </si>
  <si>
    <t>6661 - ມູນ​ຄ່າ​ສ່ວນ​ຫຼຸດ ​ເຄື່ອງມື​ການ​ເງິນ ແລະ ​ເຄື່ອງມື​ປະ​ເພດ​ດຽວກັນ</t>
  </si>
  <si>
    <t>6661 - Discounted value of financial instruments and similar instruments</t>
  </si>
  <si>
    <t>667 - ລາຍ​ຈ່າຍ​ສຸດ​ທິ ຈາກ​ການ​ຂາຍຫຼັກ​ຊັບ​ໝູນ​ທຶນ</t>
  </si>
  <si>
    <t>667 - Net expenses from the sale of capital stock</t>
  </si>
  <si>
    <t>6671 - ລາຍ​ຈ່າຍ​ສຸດ​ທິ ຈາກ​ການ​ຂາຍຫຼັກ​ຊັບ​ໝູນ​ທຶນ</t>
  </si>
  <si>
    <t>6671 - Net expenses from the sale of capital stock</t>
  </si>
  <si>
    <t>668 - ລາຍ​ຈ່າຍ​ການເງິນອື່ນໆ​</t>
  </si>
  <si>
    <t>668 - Other financial expenses</t>
  </si>
  <si>
    <t>6681 - ລາຍ​ຈ່າຍ​ການເງິນອື່ນໆ​</t>
  </si>
  <si>
    <t>6681 - Other financial expenses</t>
  </si>
  <si>
    <t>67 - ລາຍ​ຈ່າຍ​​​ສັງ​ລວມ ຫຼັງອາ​ກອນ</t>
  </si>
  <si>
    <t>67 - Total expenditure after tax</t>
  </si>
  <si>
    <t>671 - ຄ່າ​ເວນ​ຄືນ</t>
  </si>
  <si>
    <t>671 - Refund fee</t>
  </si>
  <si>
    <t>6711 - ຄ່າ​ເວນ​ຄືນ</t>
  </si>
  <si>
    <t>6711 - Welsh return</t>
  </si>
  <si>
    <t>672 - ລາຍ​ຈ່າຍ​ຈາກ​ໄພພິບັດ​ທຳ​ມະ​ຊາດ</t>
  </si>
  <si>
    <t>672 - Expenses from natural disasters</t>
  </si>
  <si>
    <t>6721 - ລາຍ​ຈ່າຍ​ຈາກ​ໄພພິບັດ​ທຳ​ມະ​ຊາດ</t>
  </si>
  <si>
    <t>6721 - Expenses from natural disasters</t>
  </si>
  <si>
    <t>673 - ຂາດ​ທຶນ​ຈາກ​ການ​ຕີ​ມູນ​ຄ່າ (ຊັບ​ສິນ-ໜີ້​ສິນ) ທີ່​ເປັນ​ເງິນ​ຕາ​ຕ່າງ​ປະ​ເທດ</t>
  </si>
  <si>
    <t>673 - Lack of funds due to valuation (assets-liabilities) in foreign currency</t>
  </si>
  <si>
    <t>6731 - ຂາດ​ທຶນ​ຈາກ​ການ​ຕີ​ມູນ​ຄ່າ (ຊັບ​ສິນ-ໜີ້​ສິນ) ທີ່​ເປັນ​ເງິນ​ຕາ​ຕ່າງ​ປະ​ເທດ</t>
  </si>
  <si>
    <t>6731 - Lack of funds due to valuation (assets-liabilities) in foreign currency</t>
  </si>
  <si>
    <t>674 - ຜິດ​ດ່ຽງ​ຈາກ​ການ​ຕີ​ມູນ​ຄ່າ ຊັບ​ສົມ​ບັດ​ຄົງ​ທີ່ ຄືນ​ໃໝ່ຫຼຸດ​ລົງ</t>
  </si>
  <si>
    <t>674 - Deviation from revaluing fixed assets to decrease</t>
  </si>
  <si>
    <t>6741 - ຜິດ​ດ່ຽງ​ຈາກ​ການ​ຕີ​ມູນ​ຄ່າ ຊັບ​ສົມ​ບັດ​ຄົງ​ທີ່ ຄືນ​ໃໝ່ຫຼຸດ​ລົງ</t>
  </si>
  <si>
    <t>6741 - Deviation from revaluation of fixed assets.</t>
  </si>
  <si>
    <t>6741.01 - ຜິດ​ດ່ຽງ​ຈາກ​ການ​ຕີ​ມູນ​ຄ່າ ຊັບ​ສົມ​ບັດ​ຄົງ​ທີ່ ຄືນ​ໃໝ່ຫຼຸດ​ລົງ</t>
  </si>
  <si>
    <t>6741.01 - Deviation from revaluing fixed assets</t>
  </si>
  <si>
    <t>675 - ຂາດ​ທຶນ​ຈາກ​ການ​ຊຳ​ລະ​ສະ​ສາງ ຫຼື ການ​ຄວບ ບໍ​ລິ​ສັດ</t>
  </si>
  <si>
    <t>675 - Lack of capital from liquidation or company control</t>
  </si>
  <si>
    <t>6751 - ຂາດ​ທຶນ​ຈາກ​ການ​ຊຳ​ລະ​ສະ​ສາງ ຫຼື ການ​ຄວບ ບໍ​ລິ​ສັດ</t>
  </si>
  <si>
    <t>6751 - Lack of funds from liquidation or company control</t>
  </si>
  <si>
    <t>678 - ລາຍ​ຈ່າຍ​ສັງ​ລວມ​ອື່ນໆ ຫຼັງ​ອາ​ກອນ</t>
  </si>
  <si>
    <t>678 - Other comprehensive expenses after tax</t>
  </si>
  <si>
    <t>6781 - ​ສ່ວນ​ຫຼຸດ ​ຈາກ​ລາຍ​ການ​ດັດ​ແກ້ການ​ຮັບ​ຮອງ​ນຳ​ໃຊ້​ຄັ້ງ​ທຳ​ອິດ</t>
  </si>
  <si>
    <t>6781 - Discounts from first-time certification modification items</t>
  </si>
  <si>
    <t>6782 - ສ່ວນ​ຫຼຸດ ຈາກ​ການ​ປ່ຽນ​ແປງ​ນະ​ໂຍ​ບາຍ​ດ້ານ​ບັນ​ຊີ</t>
  </si>
  <si>
    <t>6782 - Discount from changes in accounting policies</t>
  </si>
  <si>
    <t>6783 - ສ່ວນ​ຫຼຸດ ​ຈາກ​ການ​ແກ້​ໄຂ​ຂໍ້​ຜິດ​ພາດ​ດ້ານ​ບັນ​ຊີ</t>
  </si>
  <si>
    <t>6783 - Discount from correcting accounting errors</t>
  </si>
  <si>
    <t>6788 - ​​ລາຍ​ຈ່າຍ​ສັງ​ລວມອື່ນໆ</t>
  </si>
  <si>
    <t>6788 - Other general expenses</t>
  </si>
  <si>
    <t>68 - ຫັກ​ຄ່າ​ຫຼຸ້ຍຫ້ຽນ, ຄ່າ​ສູນ​ເສຍ​ມູນ​ຄ່າ, ​ເງິນ​ແຮ</t>
  </si>
  <si>
    <t>68 - Deduction of depreciation, loss of value, money</t>
  </si>
  <si>
    <t>681 - ຫັກຄ່າໃຊ້ຈ່າຍ ບ້ວງຊັບສົມບັດຄົງທີ່ ການເງິນ</t>
  </si>
  <si>
    <t>681 - Deducting the cost of fixed financial assets</t>
  </si>
  <si>
    <t>6811 - ຫັກຄ່າໃຊ້ຈ່າຍ ບ້ວງຊັບສົມບັດຄົງທີ່ ການເງິນ</t>
  </si>
  <si>
    <t>6811 - Deduct the cost of fixed assets and finance</t>
  </si>
  <si>
    <t>682 - ຫັກ​ຄ່າ​ຫຼຸ້ຍ​ຫ້ຽນ ຊັບ​ສົມບັດ​ຄົງ​ທີ່ ມີ​ຕົວ​ຕົນ</t>
  </si>
  <si>
    <t>682 - Deducting depreciation on tangible fixed assets</t>
  </si>
  <si>
    <t>6820 - ຄ່າຫຼຸ້ຍຫ້ຽນ ເຄື່ອງໃຊ້ຫ້ອງການ</t>
  </si>
  <si>
    <t>6820 - Fees for office supplies</t>
  </si>
  <si>
    <t>6820.01 - ຄ່າຫຼຸ້ຍຫ້ຽນ ເຟີ​ນີ​ເຈີ - ຕົ້ນທຶນການບໍລິການ</t>
  </si>
  <si>
    <t>6820.01 - Furniture cost - Service cost</t>
  </si>
  <si>
    <t>6820.02 - ຄ່າຫຼຸ້ຍຫ້ຽນ ເຟີ​ນີ​ເຈີ - ຄ່າໃຊ້ຈ່າຍການຂາຍການບໍລິການ</t>
  </si>
  <si>
    <t>6820.02 - Furnishings - Cost of selling services</t>
  </si>
  <si>
    <t>6820.03 - ຄ່າຫຼຸ້ຍຫ້ຽນ ເຟີ​ນີ​ເຈີ - ຄ່າໃຊ້ຈ່າຍບໍລິຫານ</t>
  </si>
  <si>
    <t>6820.03 - Furniture costs - Administrative expenses</t>
  </si>
  <si>
    <t>6821 - ຄ່າຫຼຸ້ຍຫ້ຽນ ອຸ​ປະ​ກອນ​ສຳ​ນັກ​ງານ</t>
  </si>
  <si>
    <t>6821 - Cost of office equipment</t>
  </si>
  <si>
    <t>6821.01 - ຄ່າຫຼຸ້ຍຫ້ຽນ ອຸ​ປະ​ກອນ​ສຳ​ນັກ​ງານ  - ຕົ້ນທຶນການບໍລິການ</t>
  </si>
  <si>
    <t>6821.01 - Cost of office equipment - Service cost</t>
  </si>
  <si>
    <t>6821.02 - ຄ່າຫຼຸ້ຍຫ້ຽນ ອຸ​ປະ​ກອນ​ສຳ​ນັກ​ງານ - ຄ່າໃຊ້ຈ່າຍການຂາຍການບໍລິການ</t>
  </si>
  <si>
    <t>6821.02 - Cost of office equipment - Cost of selling services</t>
  </si>
  <si>
    <t>6821.03 - ຄ່າຫຼຸ້ຍຫ້ຽນ ອຸ​ປະ​ກອນ​ສຳ​ນັກ​ງານ - ຄ່າໃຊ້ຈ່າຍບໍລິຫານ</t>
  </si>
  <si>
    <t>6821.03 - Cost of office equipment - Administrative expenses</t>
  </si>
  <si>
    <t>6822 - ຄ່າຫຼຸ້ຍຫ້ຽນ ອາຄານ, ສິ່ງປຸກສ້າງ</t>
  </si>
  <si>
    <t>6822 - Cost of building, construction materials</t>
  </si>
  <si>
    <t>6822.01 - ຄ່າຫຼຸ້ຍຫ້ຽນ ອາຄານ, ສິ່ງປຸກສ້າງ  - ຕົ້ນທຶນການບໍລິການ</t>
  </si>
  <si>
    <t>6822.01 - Cost of buildings, construction materials - Service cost</t>
  </si>
  <si>
    <t>6822.02 - ຄ່າຫຼຸ້ຍຫ້ຽນ ອາຄານ, ສິ່ງປຸກສ້າງ  - ຄ່າໃຊ້ຈ່າຍການຂາຍການບໍລິການ</t>
  </si>
  <si>
    <t>6822.02 - Depreciation cost of buildings, construction materials - Cost of selling services</t>
  </si>
  <si>
    <t>6822.03 - ຄ່າຫຼຸ້ຍຫ້ຽນ ອາຄານ,ສິ່ງປຸກສ້າງ  - ຄ່າໃຊ້ຈ່າຍບໍລິຫານ</t>
  </si>
  <si>
    <t>6822.03 - Costs for maintenance of buildings, constructions - Administrative expenses</t>
  </si>
  <si>
    <t>6823 - ຄ່າຫຼຸ້ຍຫ້ຽນ ອຸປະກອນ ເຄື່ອງຈັກ</t>
  </si>
  <si>
    <t>6823 - Depreciation of machine equipment</t>
  </si>
  <si>
    <t>6823.01 - ຄ່າຫຼຸ້ຍຫ້ຽນ ອຸປະກອນ ເຄື່ອງຈັກ - ຕົ້ນທຶນການບໍລິການ</t>
  </si>
  <si>
    <t>6823.01 - Cost of equipment, machinery - cost of service</t>
  </si>
  <si>
    <t>6823.02 - ຄ່າຫຼຸ້ຍຫ້ຽນ ອຸປະກອນ ເຄື່ອງຈັກ - ຄ່າໃຊ້ຈ່າຍການຂາຍການບໍລິການ</t>
  </si>
  <si>
    <t>6823.02 - Depreciation, Equipment, Machinery - Cost of selling services</t>
  </si>
  <si>
    <t>6823.03 - ຄ່າຫຼຸ້ຍຫ້ຽນ ອຸປະກອນ ເຄື່ອງຈັກ - ຄ່າໃຊ້ຈ່າຍບໍລິຫານ</t>
  </si>
  <si>
    <t>6823.03 - Equipment, machinery - Administrative expenses</t>
  </si>
  <si>
    <t>6824 - ຄ່າຫຼຸ້ຍຫ້ຽນ ພາຫະນະ</t>
  </si>
  <si>
    <t>6824 - Vehicle depreciation</t>
  </si>
  <si>
    <t>6824.01 - ຄ່າຫຼຸ້ຍຫ້ຽນ ພາຫະນະ - ຕົ້ນທຶນການບໍລິການ</t>
  </si>
  <si>
    <t>6824.01 - Vehicle maintenance cost - Service cost</t>
  </si>
  <si>
    <t>6824.02 - ຄ່າຫຼຸ້ຍຫ້ຽນ ພາຫະນະ - ຄ່າໃຊ້ຈ່າຍການຂາຍການບໍລິການ</t>
  </si>
  <si>
    <t>6824.02 - Vehicle depreciation - Cost of selling services</t>
  </si>
  <si>
    <t>6824.03 - ຄ່າຫຼຸ້ຍຫ້ຽນ ພາຫະນະ - ຄ່າໃຊ້ຈ່າຍບໍລິຫານ</t>
  </si>
  <si>
    <t>6824.03 - Vehicle maintenance fee - Administrative expenses</t>
  </si>
  <si>
    <t>6825 - ຄ່າຫຼຸ້ຍຫ້ຽນ ຊຄທ ທົດແທນກັນໄດ້</t>
  </si>
  <si>
    <t>6825 - The cost of the property can be replaced</t>
  </si>
  <si>
    <t>6825.01 - ຄ່າຫຼຸ້ຍຫ້ຽນ ຊຄທ ທົດແທນກັນໄດ້ - ຕົ້ນທຶນການບໍລິການ</t>
  </si>
  <si>
    <t>6825.01 - The replacement cost of Lui Hien SCT - Service cost</t>
  </si>
  <si>
    <t>6825.02 - ຄ່າຫຼຸ້ຍຫ້ຽນ ຊຄທ ທົດແທນກັນໄດ້ - ຄ່າໃຊ້ຈ່າຍການຂາຍການບໍລິການ</t>
  </si>
  <si>
    <t>6825.02 - The cost of selling services</t>
  </si>
  <si>
    <t>6825.03 - ຄ່າຫຼຸ້ຍຫ້ຽນ ຊຄທ ທົດແທນກັນໄດ້ - ຄ່າໃຊ້ຈ່າຍບໍລິຫານ</t>
  </si>
  <si>
    <t>6825.03 - The replacement cost of the company - Administrative expenses</t>
  </si>
  <si>
    <t>6828 - ຄ່າຫຼຸ້ຍຫ້ຽນ ຊັບສົມບັດຄົງທີ ມີຕົວຕົນອື່ນໆ</t>
  </si>
  <si>
    <t>6828 - Fixed assets with other identities</t>
  </si>
  <si>
    <t>6828.01 - ຄ່າຫຼຸ້ຍຫ້ຽນ ຊັບສົມບັດຄົງທີ ມີຕົວຕົນອື່ນໆ- ຕົ້ນທຶນການບໍລິການ</t>
  </si>
  <si>
    <t>6828.01 - Depreciation charges, other tangible assets - Service cost</t>
  </si>
  <si>
    <t>6828.02 - ຄ່າຫຼຸ້ຍຫ້ຽນ ຊັບສົມບັດຄົງທີ ມີຕົວຕົນອື່ນໆ  - ຄ່າໃຊ້ຈ່າຍການຂາຍການບໍລິການ</t>
  </si>
  <si>
    <t>6828.02 - Depreciation on other tangible assets - Cost of selling services</t>
  </si>
  <si>
    <t>6828.03 - ຄ່າຫຼຸ້ຍຫ້ຽນ  ຊັບສົມບັດຄົງທີ ມີຕົວຕົນອື່ນໆ - ຄ່າໃຊ້ຈ່າຍບໍລິຫານ</t>
  </si>
  <si>
    <t>6828.03 - Depreciation, other tangible assets - Administrative expenses</t>
  </si>
  <si>
    <t>683 - ຫັກ​ຄ່າ​ຫຼຸ້ຍ​ຫ້ຽນ ຊັບ​ສົມບັດ​ຄົງ​ທີ່​ ບໍ່​ມີ​ຕົວ​ຕົນ</t>
  </si>
  <si>
    <t>683 - Deduct depreciation on intangible fixed assets</t>
  </si>
  <si>
    <t>6831 - ຫັກ​ຄ່າ​ຫຼຸ້ຍ​ຫ້ຽນ ຊັບ​ສົມບັດ​ຄົງ​ທີ່​ ບໍ່​ມີ​ຕົວ​ຕົນ</t>
  </si>
  <si>
    <t>6831 - Deduct depreciation on intangible fixed assets</t>
  </si>
  <si>
    <t>6831.01 - ຄ່າຫຼຸ້ຍຫ້ຽນ ບໍ່ມີຕົວຕົນ ໂປຣແກຣມ - ຕົ້ນທຶນການບໍລິການ</t>
  </si>
  <si>
    <t>6831.01 - Intangible fees Program - Service cost</t>
  </si>
  <si>
    <t>6831.02 - ຄ່າຫຼຸ້ຍຫ້ຽນ ບໍ່ມີຕົວຕົນ ໂປຣແກຣມ - ຄ່າໃຊ້ຈ່າຍການຂາຍການບໍລິການ</t>
  </si>
  <si>
    <t>6831.02 - Intangible fees Program - Cost of selling services</t>
  </si>
  <si>
    <t>6831.03 - ຄ່າຫຼຸ້ຍຫ້ຽນ ບໍ່ມີຕົວຕົນ ໂປຣແກຣມ - ຄ່າໃຊ້ຈ່າຍບໍລິຫານ</t>
  </si>
  <si>
    <t>6831.03 - Intangible fees Program - Administrative expenses</t>
  </si>
  <si>
    <t>684 - ຫັກ​ເງິນ​ແຮ ​ເພື່ອ​ລາຍ​ຈ່າຍ</t>
  </si>
  <si>
    <t>684 - Deduction of money for expenses</t>
  </si>
  <si>
    <t>6841 - ຫັກ​ເງິນ​ແຮ ​ເພື່ອ​ລາຍ​ຈ່າຍ</t>
  </si>
  <si>
    <t>6841 - Deduction of money for expenses</t>
  </si>
  <si>
    <t>685 - ຫັກ​ຄ່າ​ສູນ​ເສຍ​ມູນ​ຄ່າ - ຊັບ​ສົມ​ບັດ​ຄົງ​ທີ່</t>
  </si>
  <si>
    <t>685 - Deduction of depreciation - fixed assets</t>
  </si>
  <si>
    <t>6851 - ຫັກ​ຄ່າ​ສູນ​ເສຍ​ມູນ​ຄ່າ - ຊັບ​ສົມ​ບັດ​ຄົງ​ທີ່</t>
  </si>
  <si>
    <t>6851 - Impairment deduction - Fixed assets</t>
  </si>
  <si>
    <t>6851.01 - ຫັກ​ຄ່າ​ສູນ​ເສຍ​ມູນ​ຄ່າ - ຊັບ​ສົມ​ບັດ​ຄົງ​ທີ່</t>
  </si>
  <si>
    <t>6851.01 - Impairment deduction - Fixed assets</t>
  </si>
  <si>
    <t>686 - ຫັກ​ຄ່າສູນ​ເສຍ​ມູນ​ຄ່າ ​- ​ເຄື່ອງ​ໃນ​ສາງ</t>
  </si>
  <si>
    <t>686 - Deduction of depreciation - Goods in warehouse</t>
  </si>
  <si>
    <t>6861 - ຫັກ​ຄ່າສູນ​ເສຍ​ມູນ​ຄ່າ ​- ​ເຄື່ອງ​ໃນ​ສາງ</t>
  </si>
  <si>
    <t>6861 - Impairment deduction - Goods in warehouse</t>
  </si>
  <si>
    <t>687 - ຫັກຄ່າ​ສູນ​ເສຍ​ມູນ​ຄ່າ - ໜີ້​ຕ້ອງ​ຮັບ​ທວງ​ຍາກ</t>
  </si>
  <si>
    <t>687 - Deduction of loss of value - Debt must be paid off</t>
  </si>
  <si>
    <t>6871 - ຫັກຄ່າ​ສູນ​ເສຍ​ມູນ​ຄ່າ - ໜີ້​ຕ້ອງ​ຮັບ​ທວງ​ຍາກ</t>
  </si>
  <si>
    <t>6871 - Loss of value deduction - Debt must be paid</t>
  </si>
  <si>
    <t>688 - ຫັກຄ່າ​ສູນ​ເສຍ​ມູນ​ຄ່າ - ຊັບ​ສິນ​ການ​ເງິນ</t>
  </si>
  <si>
    <t>688 - Impairment deduction - Financial assets</t>
  </si>
  <si>
    <t>6881 - ຫັກຄ່າ​ສູນ​ເສຍ​ມູນ​ຄ່າ - ຊັບ​ສິນ​ການ​ເງິນ</t>
  </si>
  <si>
    <t>6881 - Impairment deduction - Financial assets</t>
  </si>
  <si>
    <t>708 - Selling other services</t>
  </si>
  <si>
    <t>7081 - Selling services - transit containers</t>
  </si>
  <si>
    <t>7081.01 - Selling services - Transshipment - Rail Thai - Truck</t>
  </si>
  <si>
    <t>7081.02 - Selling services - Transshipment-Truck-Truck-Rail China</t>
  </si>
  <si>
    <t>7081.03 - Selling services - Transshipment-Rail China-Truck-LOLO</t>
  </si>
  <si>
    <t>7081.04 - Selling services - Transshipment Train - PASS</t>
  </si>
  <si>
    <t>7081.05 - Sale of services - Transshipment - TRUCK - TRUCK</t>
  </si>
  <si>
    <t>7081.06 - Selling services - Transshipment-TRUCK-SWAP</t>
  </si>
  <si>
    <t>7081.07 - Selling services - Transshipment-Rail China-Truck-SWAP</t>
  </si>
  <si>
    <t>7081.08 - Selling services - Transshipment-Truck-Rail China</t>
  </si>
  <si>
    <t>7081.09 - Selling services - Transshipment containers - Rail Thai to Rail China</t>
  </si>
  <si>
    <t>7081.10 - Selling services - Transshipment - Thai to China - Swap</t>
  </si>
  <si>
    <t>7081.11 - Selling services - Transshipment - Thai to China - PASS</t>
  </si>
  <si>
    <t>7081.12 - Selling services - Transshipment - Rail China to Rail Thai</t>
  </si>
  <si>
    <t>7081.13 - Selling services - Transshipment - China to Thai - Swap</t>
  </si>
  <si>
    <t>7081.14 - Selling services - Transshipment - China to Thai - PASS</t>
  </si>
  <si>
    <t>7081.15 - Selling services - Transshipment-Rail China-Truck-LOLO</t>
  </si>
  <si>
    <t>7082 - Selling services - all imports</t>
  </si>
  <si>
    <t>7082.01 - Selling Services - All Imports Import-Truck-Bulk-Pass</t>
  </si>
  <si>
    <t>7082.02 - Selling Services - All Imports Import-Truck-FCL-PASS</t>
  </si>
  <si>
    <t>7082.03 - Sales of services - all importation - Import-Truck-Gas&amp;Oil</t>
  </si>
  <si>
    <t>7082.04 - Selling Services - All Imports Import-Truck-Bulk-Swap</t>
  </si>
  <si>
    <t>7082.05 - Selling Services - All Imports Import-Truck-FCL-Swap</t>
  </si>
  <si>
    <t>7082.06 - Selling Services - All Imports Empty-Truck-Domestic</t>
  </si>
  <si>
    <t>7082.07 - Sale of services - all imports Import-Truck-FCL</t>
  </si>
  <si>
    <t>7082.08 - Selling Services - All Imports Import-Truck-Bulk-LCL-Drop</t>
  </si>
  <si>
    <t>7082.09 - Selling services - all importation - Import-Truck-LCL-Drop</t>
  </si>
  <si>
    <t>7082.10 - Selling services - all imports Import-Rail Thai - FCL</t>
  </si>
  <si>
    <t>7082.11 - Selling services - all import - Thai Rail Import - LCL</t>
  </si>
  <si>
    <t>7082.12 - Selling Services - All Imports Import-Rail Thai - LCL-Truck Pickup</t>
  </si>
  <si>
    <t>7082.13 - Sell Services - All Imports Import-Rail China - FCL-TruckPASS</t>
  </si>
  <si>
    <t>7082.14 - Selling Services - All Imports Import-Rail China - LCL - TruckDrop</t>
  </si>
  <si>
    <t>7082.15 - Sell Services - All Imports Import-Rail China - LCL-Truck Pickup</t>
  </si>
  <si>
    <t>7082.16 - Sales Service - All Import MTY-Truck-Bulk-LCL-Pickup-Inter</t>
  </si>
  <si>
    <t>7082.17 - Selling Services - All Imports Import-Rail Thai - DIR</t>
  </si>
  <si>
    <t>7082.18 - Selling Services - All Imports Import-Rail Thai - DIR-Truck Pickup</t>
  </si>
  <si>
    <t>7082.19 - Sell Services - All Imports Import-Rail China - FCL</t>
  </si>
  <si>
    <t>7082.20 - Selling Services-All Imports Import-Rail China - DIR</t>
  </si>
  <si>
    <t>7082.21 - Sales Services - All Imports Import-Rail China - LCL-Truck Pickup</t>
  </si>
  <si>
    <t>7082.22 - Selling services - all import - Truck Pickup</t>
  </si>
  <si>
    <t>7082.23 - Sale of services - all imports Import-Truck-LCL</t>
  </si>
  <si>
    <t>7082.24 - Sale of services - all imports Import-Truck Pickup1</t>
  </si>
  <si>
    <t>7082.25 - Selling services - all importation - Import-Truck-LCL</t>
  </si>
  <si>
    <t>7082.26 - Selling services-all importation Import-Truck Pickup1</t>
  </si>
  <si>
    <t>7082.27 - Selling services - all importation - Import-Truck-Bulk-LCL-Pickup</t>
  </si>
  <si>
    <t>7082.28 - Sale of services - all imports Import-Truck-LCL-Pickup (by Container)</t>
  </si>
  <si>
    <t>7082.29 - Selling Services - All Imports Import-Truck-LCL-Vehicle</t>
  </si>
  <si>
    <t>7083 - Selling services - all exports</t>
  </si>
  <si>
    <t>7083.01 - Selling Services - All Exports Export-T-Truck-FCL-PASS</t>
  </si>
  <si>
    <t>7083.02 - Selling services - all exports Export-Truck-Bulk-LCL</t>
  </si>
  <si>
    <t>7083.03 - Selling Services - All Exports Export-L-Truck-FCL-PASS</t>
  </si>
  <si>
    <t>7083.04 - Selling services-all exports Export-Truck-FCL-SWAP</t>
  </si>
  <si>
    <t>7083.05 - Selling services-all exports Export-Truck-FCL-LOLO</t>
  </si>
  <si>
    <t>7083.06 - Selling Services - All Exports Export-Rail China - FCL-TruckPASS</t>
  </si>
  <si>
    <t>7083.07 - Selling services-all exports Export-Rail Thai-TruckFCL</t>
  </si>
  <si>
    <t>7083.08 - Selling services-all exports Export-Rail China-TruckFCL</t>
  </si>
  <si>
    <t>7083.09 - Selling services - all exports Export-Truck-LCL-Drop</t>
  </si>
  <si>
    <t>7083.10 - Selling services - all exports Export-Truck-LCL-Pickup</t>
  </si>
  <si>
    <t>7083.11 - Selling Services - All Exports Export-LaoTruck-Bulk-PASS</t>
  </si>
  <si>
    <t>7083.12 - Selling Services - All Exports Export-Truck-Bulk-SWAP</t>
  </si>
  <si>
    <t>7083.13 - Selling Services - All Exports Export-T-Truck-Bulk-PASS</t>
  </si>
  <si>
    <t>7084 - Sales of services - containers for import and export</t>
  </si>
  <si>
    <t>7084.01 - Sale of services - import and export containers</t>
  </si>
  <si>
    <t>7085 - Sell car services through EMPTY</t>
  </si>
  <si>
    <t>7085.01 - Selling service-work through Empty-Truck Pickup</t>
  </si>
  <si>
    <t>7085.02 - Selling service-car work through Empty-Truck-PASS</t>
  </si>
  <si>
    <t>7085.03 - Selling service-car work through Empty-Truck-Swap</t>
  </si>
  <si>
    <t>7085.04 - Selling service-car work through Empty-Truck-MTYLOLO-Drop</t>
  </si>
  <si>
    <t>7085.05 - Selling service-car work through Empty-Pickup-MTY-SWAP</t>
  </si>
  <si>
    <t>7085.06 - Selling service-car work through Empty-Rail to Rail</t>
  </si>
  <si>
    <t>7085.07 - Selling service-car work through Empty-TruckCTN-PASS</t>
  </si>
  <si>
    <t>7085.08 - Selling service-works through Empty-RAIL THAI</t>
  </si>
  <si>
    <t>7085.09 - Selling service-car work through Empty-RAIL THAI1</t>
  </si>
  <si>
    <t>7085.10 - Selling service-car work through Empty-Pickup-MTYLOLO-D</t>
  </si>
  <si>
    <t>7085.11 - Selling service-car work through Empty-Truck-TDP</t>
  </si>
  <si>
    <t>7085.12 - Selling service-car work through Empty-TruckCTN-TDP</t>
  </si>
  <si>
    <t>7085.13 - Selling service-car work through Empty-TruckCNT-Swap</t>
  </si>
  <si>
    <t>7085.14 - Selling service-car work through Empty-TruckCTN-Rail</t>
  </si>
  <si>
    <t>7085.15 - Selling service-car work through Empty-Pickup-MTYLOLO</t>
  </si>
  <si>
    <t>7085.16 - Selling service-car work through Empty-Pickup-MTYLOLO1</t>
  </si>
  <si>
    <t>7085.17 - Selling service-car work through Empty-Pickup-MTY</t>
  </si>
  <si>
    <t>7085.18 - Selling service-car work through Empty-Truck-Bulk-LCL-Pickup-Inter</t>
  </si>
  <si>
    <t>7086 - Selling other services</t>
  </si>
  <si>
    <t>7086.01 - Selling other services STORAGE</t>
  </si>
  <si>
    <t>7086.02 - Sales of other CFS services</t>
  </si>
  <si>
    <t>7086.03 - Sale of other services CY</t>
  </si>
  <si>
    <t>7086.04 - Sale of other transport services</t>
  </si>
  <si>
    <t>7086.05 - Sale of other services Document</t>
  </si>
  <si>
    <t>7086.06 - Sale of other services Register</t>
  </si>
  <si>
    <t>7086.07 - Selling other services E-Seal</t>
  </si>
  <si>
    <t>7086.08 - Sale of other services Card</t>
  </si>
  <si>
    <t>7086.09 - Sale of other services Overnight</t>
  </si>
  <si>
    <t>709 - Resale and customer discounts</t>
  </si>
  <si>
    <t>7091 - Resale</t>
  </si>
  <si>
    <t>7091.01 - Resale</t>
  </si>
  <si>
    <t>7092 - Various discounts given to customers</t>
  </si>
  <si>
    <t>7092.01 - Various discounts given to customers</t>
  </si>
  <si>
    <t>71 - Income from secondary activities</t>
  </si>
  <si>
    <t>711 - Selling waste products</t>
  </si>
  <si>
    <t>7111 - Selling waste products</t>
  </si>
  <si>
    <t>712 - Various rental income</t>
  </si>
  <si>
    <t>7121 - Various rental income</t>
  </si>
  <si>
    <t>7121.01 - Miscellaneous rental income - buildings</t>
  </si>
  <si>
    <t>7121.02 - Miscellaneous rental income - vehicles</t>
  </si>
  <si>
    <t>7121.03 - Miscellaneous rental income - equipment</t>
  </si>
  <si>
    <t>715 - Commission income</t>
  </si>
  <si>
    <t>7151 - Commission income</t>
  </si>
  <si>
    <t>7151.01 - Commission income</t>
  </si>
  <si>
    <t>717 - Revenue from shipping and other expenses collected from customers</t>
  </si>
  <si>
    <t>7171 - Revenue from shipping and other expenses collected from customers</t>
  </si>
  <si>
    <t>7171.01 - Revenue from shipping and other expenses collected from customers</t>
  </si>
  <si>
    <t>718 - Income from other reserve activities</t>
  </si>
  <si>
    <t>7181 - Income from other reserve activities</t>
  </si>
  <si>
    <t>7181.01 - Income from other reserve activities</t>
  </si>
  <si>
    <t>719 - Discounted price</t>
  </si>
  <si>
    <t>7191 - Discounted price</t>
  </si>
  <si>
    <t>7191.01 - Discounted price</t>
  </si>
  <si>
    <t>74 - Income and support in business</t>
  </si>
  <si>
    <t>741 - Funds to support the balance</t>
  </si>
  <si>
    <t>7411 - Financial support balance</t>
  </si>
  <si>
    <t>748 - Financial assistance in business</t>
  </si>
  <si>
    <t>7481 - Financial assistance in business</t>
  </si>
  <si>
    <t>75 - Other income in normal operations</t>
  </si>
  <si>
    <t>751 - Concession fees and similar fees</t>
  </si>
  <si>
    <t>7511 - Concession fees and similar fees</t>
  </si>
  <si>
    <t>752 - Value of profit from the sale of non-financial fixed assets</t>
  </si>
  <si>
    <t>7521 - Gains from the sale of non-financial fixed assets</t>
  </si>
  <si>
    <t>7521.01 - Profit from the sale of non-financial fixed assets</t>
  </si>
  <si>
    <t>753 - Meeting fees and compensation for administrators, managers</t>
  </si>
  <si>
    <t>7531 - Meeting fees and compensation for administrators, managers</t>
  </si>
  <si>
    <t>754 - The share of money to support the construction of the foundation that is transferred to the income in the year</t>
  </si>
  <si>
    <t>7541 - The share of money to support the construction of the foundation that is transferred to the income in the year</t>
  </si>
  <si>
    <t>755 - Profit share from joint activities - profit</t>
  </si>
  <si>
    <t>7551 - Share of results from joint activities - profit</t>
  </si>
  <si>
    <t>756 - Donations received</t>
  </si>
  <si>
    <t>7561 - Donations received</t>
  </si>
  <si>
    <t>757 - Proceeds from the collection of property, the amount of money to support the construction of the foundation</t>
  </si>
  <si>
    <t>7571 - Proceeds from the sale of property, the amount of money to support the construction of the foundation</t>
  </si>
  <si>
    <t>758 - Other income in normal operations</t>
  </si>
  <si>
    <t>7581 - Other income in normal operations</t>
  </si>
  <si>
    <t>7581.01 - Other income from normal operations</t>
  </si>
  <si>
    <t>76 - Financial income</t>
  </si>
  <si>
    <t>761 - Income, dividends and interest</t>
  </si>
  <si>
    <t>7611 - Dividend income</t>
  </si>
  <si>
    <t>7611.01 - Dividend income</t>
  </si>
  <si>
    <t>7612 - Interest income</t>
  </si>
  <si>
    <t>7612.01 - Interest income</t>
  </si>
  <si>
    <t>762 - Discount received from payment</t>
  </si>
  <si>
    <t>7621 - Discount received from payment</t>
  </si>
  <si>
    <t>7621.01 - Discount received from payment</t>
  </si>
  <si>
    <t>763 - Profit from currency exchange rate</t>
  </si>
  <si>
    <t>7631 - Profit from currency exchange rate</t>
  </si>
  <si>
    <t>7631.01 - Profit from currency exchange rate</t>
  </si>
  <si>
    <t>7631.02 - Profit from the exchange rate, payment of debts to suppliers</t>
  </si>
  <si>
    <t>7631.03 - Profit from currency exchange rate, customer paying debt</t>
  </si>
  <si>
    <t>7631.04 - Profit from exchange rate-Unrealize</t>
  </si>
  <si>
    <t>764 - Income from other financial fixed assets</t>
  </si>
  <si>
    <t>7641 - Income from other financial fixed assets</t>
  </si>
  <si>
    <t>765 - Surplus value of investment stock</t>
  </si>
  <si>
    <t>7651 - Surplus value of investment securities</t>
  </si>
  <si>
    <t>766 - Surplus value of financial instruments and similar instruments</t>
  </si>
  <si>
    <t>7661 - Surplus value of financial instruments and similar instruments</t>
  </si>
  <si>
    <t>767 - Net income from the sale of capital stock</t>
  </si>
  <si>
    <t>7671 - Net income from the sale of capital stock</t>
  </si>
  <si>
    <t>768 - Other financial income</t>
  </si>
  <si>
    <t>7681 - Other financial income</t>
  </si>
  <si>
    <t>7681.01 - Other financial income</t>
  </si>
  <si>
    <t>77 - Consolidated income after tax</t>
  </si>
  <si>
    <t>773 - The part obtained from the valuation (assets-debts) in foreign currency</t>
  </si>
  <si>
    <t>7731 - The part obtained from the valuation (assets-liabilities) in foreign currency</t>
  </si>
  <si>
    <t>774 - Profit from revaluation of fixed assets increased</t>
  </si>
  <si>
    <t>7741 - Fixed asset revaluation gains increased</t>
  </si>
  <si>
    <t>7741.01 - Profits from revaluation of fixed assets increase</t>
  </si>
  <si>
    <t>775 - Proceeds from the liquidation or control of the company</t>
  </si>
  <si>
    <t>7751 - Proceeds from the liquidation or control of a company</t>
  </si>
  <si>
    <t>778 - Other comprehensive income after tax</t>
  </si>
  <si>
    <t>7781 - Excerpts from First-time Certification Amendments</t>
  </si>
  <si>
    <t>7782 - Gains from changes in accounting policies</t>
  </si>
  <si>
    <t>7783 - Proceeds from correction of accounting errors</t>
  </si>
  <si>
    <t>7788 - Other comprehensive income</t>
  </si>
  <si>
    <t>78 - Collecting back fees, loss of value and money</t>
  </si>
  <si>
    <t>782 - Collecting back fees - fixed assets with identity</t>
  </si>
  <si>
    <t>7821 - Collecting back fees - fixed assets with identity</t>
  </si>
  <si>
    <t>783 - Collecting back fees - Intangible fixed assets</t>
  </si>
  <si>
    <t>7831 - Reclaiming Fees - Intangible Fixed Assets</t>
  </si>
  <si>
    <t>784 - Collect money back for expenses</t>
  </si>
  <si>
    <t>7841 - Collect money back for expenses</t>
  </si>
  <si>
    <t>785 - Recovery of lost value - Fixed assets</t>
  </si>
  <si>
    <t>7851 - Recovery of lost value - fixed assets</t>
  </si>
  <si>
    <t>786 - Refund of lost value - equipment in warehouse</t>
  </si>
  <si>
    <t>7861 - Refund of lost value - equipment in warehouse</t>
  </si>
  <si>
    <t>787 - Collect back the loss of value - Debt must be paid</t>
  </si>
  <si>
    <t>7871 - Recovery of loss of value - Debt must be paid</t>
  </si>
  <si>
    <t>788 - Recovery of loss of value - financial assets</t>
  </si>
  <si>
    <t>7881 - Recovery of loss of value - financial assets</t>
  </si>
  <si>
    <t>Operating Costs</t>
  </si>
  <si>
    <t>65 - ລາ​ຍຈ່າຍ​​ອື່ນໆ ໃນການ​ທຸ​ລະ​ກິດ</t>
  </si>
  <si>
    <t>651 - ຄ່າ​ທຳນຽມສຳ​ປະທານ ​ແລະ ລາຍ​ຈ່າຍ​ປະ​ເພດ​ດຽວ​ກັນ</t>
  </si>
  <si>
    <t>6511 - ຄ່າ​ທຳນຽມສຳ​ປະທານ ​ແລະ ລາຍ​ຈ່າຍ​ປະ​ເພດ​ດຽວ​ກັນ</t>
  </si>
  <si>
    <t>652 - ມູນ​ຄ່າ​ສ່ວນ​ຫຼຸດ ຈາ​ກການ​ຂາຍ ຊັບ​ສົມບັດ​ຄົງ​ທີ່</t>
  </si>
  <si>
    <t>6521 - ມູນ​ຄ່າ​ສ່ວນ​ຫຼຸດ ຈາ​ກການ​ຂາຍ ຊັບ​ສົມບັດ​ຄົງ​ທີ່</t>
  </si>
  <si>
    <t>653 - ​ເບ້ຽປະຊຸມ</t>
  </si>
  <si>
    <t>6531 - ​ເບ້ຽປະຊຸມ</t>
  </si>
  <si>
    <t>6531.03 - ​ເບ້ຽປະຊຸມ</t>
  </si>
  <si>
    <t>654 - ຂາດທຶນ​ບ້ວງ​ໜີ້​ຮຽກ​ເກັບ​ບໍ່​ໄດ້</t>
  </si>
  <si>
    <t>6541 - ຂາດທຶນ​ບ້ວງ​ໜີ້​ຮຽກ​ເກັບ​ບໍ່​ໄດ້</t>
  </si>
  <si>
    <t>655 - ພູດ​ສ່ວນຜົນ​ໄດ້​ຮັບ ​ຈາກ​ກິດ​ຈະ​ການ​ຮ່ວມ​ກັນ - ຂາດທຶນ</t>
  </si>
  <si>
    <t>6551 - ພູດ​ສ່ວນຜົນ​ໄດ້​ຮັບ ​ຈາກ​ກິດ​ຈະ​ການ​ຮ່ວມ​ກັນ - ຂາດທຶນ</t>
  </si>
  <si>
    <t>656 - ຄ່າ​ປັບ​ໃໝ, ​ເງິນ​ຊ່ວຍ​ໜູນ​ທີ່​ໄດ້​ໃຫ້, ຂອງຂວັນ, ລາງວັນ ​ແລະ ​ເງິນ​ຊ່ວຍ​ບໍລິຈາກ</t>
  </si>
  <si>
    <t>6561 - ຄ່າ​ປັບ​ໃໝ, ​ເງິນ​ຊ່ວຍ​ໜູນ​ທີ່​ໄດ້​ໃຫ້, ຂອງຂວັນ, ລາງວັນ ​ແລະ ​ເງິນ​ຊ່ວຍ​ບໍລິຈາກ</t>
  </si>
  <si>
    <t>6561.01 - ການຊຸກຍູ້, ເງິນ​ຊ່ວຍ​ບໍລິຈາກ - ຕົ້ນທຶນການບໍລິການ</t>
  </si>
  <si>
    <t>6561.02 - ການຊຸກຍູ້, ເງິນ​ຊ່ວຍ​ບໍລິຈາກ - ຄ່າໃຊ້ຈ່າຍການຂາຍການບໍລິການ</t>
  </si>
  <si>
    <t>6561.03 - ການຊຸກຍູ້, ເງິນ​ຊ່ວຍ​ບໍລິຈາກ - ຄ່າໃຊ້ຈ່າຍບໍລິຫານ</t>
  </si>
  <si>
    <t>6562 - ຂອງຂວັນ, ລາງວັນ</t>
  </si>
  <si>
    <t>6562.01 - ຂອງຂວັນ, ລາງວັນ  - ຕົ້ນທຶນການບໍລິການ</t>
  </si>
  <si>
    <t>6562.02 - ຂອງຂວັນ, ລາງວັນ  - ຄ່າໃຊ້ຈ່າຍການຂາຍການບໍລິການ</t>
  </si>
  <si>
    <t>6562.03 - ຂອງຂວັນ, ລາງວັນ  - ຄ່າໃຊ້ຈ່າຍບໍລິຫານ</t>
  </si>
  <si>
    <t>6563 - ຄ່າ​ປັບ​ໃໝ,</t>
  </si>
  <si>
    <t>6563.01 - ຄ່າ​ປັບ​ໃໝ, - ຕົ້ນທຶນການບໍລິການ</t>
  </si>
  <si>
    <t>6563.02 - ຄ່າ​ປັບ​ໃໝ, - ຄ່າໃຊ້ຈ່າຍການຂາຍການບໍລິການ</t>
  </si>
  <si>
    <t>6563.03 - ຄ່າ​ປັບ​ໃໝ, - ຄ່າໃຊ້ຈ່າຍບໍລິຫານ</t>
  </si>
  <si>
    <t>657 - ຂາດ​ທຶນ​ຈາກ​ການ​ແລກ​ປ່ຽນ ຊັບ​ສົມ​ບັດ​ຄົງ​ທີ່</t>
  </si>
  <si>
    <t>6571 - ຂາດ​ທຶນ​ຈາກ​ການ​ແລກ​ປ່ຽນ ຊັບ​ສົມ​ບັດ​ຄົງ​ທີ່</t>
  </si>
  <si>
    <t>658 - ລາຍ​ຈ່າຍ​ອື່ນໆ ໃນ​ການ​ທຸ​ລະ​ກິດ</t>
  </si>
  <si>
    <t>6581 - ລາຍ​ຈ່າຍ​ອື່ນໆ ໃນ​ການ​ທຸ​ລະ​ກິດ</t>
  </si>
  <si>
    <t>6581.01 - ລາຍ​ຈ່າຍ​ອື່ນໆ ໃນ​ການ​ທຸ​ລະ​ກິດ</t>
  </si>
  <si>
    <t>6581.02 - ລາຍ​ຈ່າຍ​ອື່ນໆ ໃນ​ການ​ທຸ​ລະ​ກິດ</t>
  </si>
  <si>
    <t>6581.03 - ລາຍ​ຈ່າຍ​ອື່ນໆ ໃນ​ການ​ທຸ​ລະ​ກິດ</t>
  </si>
  <si>
    <t>65 - Other expenses in business</t>
  </si>
  <si>
    <t>651 - Concession fees and similar expenses</t>
  </si>
  <si>
    <t>6511 - Concession fees and similar expenses</t>
  </si>
  <si>
    <t>652 - Discount value from the sale of fixed assets</t>
  </si>
  <si>
    <t>6521 - Value of discount from the sale of fixed assets</t>
  </si>
  <si>
    <t>653 - Meeting trouble</t>
  </si>
  <si>
    <t>6531 - Meeting room</t>
  </si>
  <si>
    <t>6531.03 - meeting room</t>
  </si>
  <si>
    <t>654 - Lack of funds to collect uncollectible debts</t>
  </si>
  <si>
    <t>6541 - Lack of funds to collect uncollectible debts</t>
  </si>
  <si>
    <t>655 - Profit share from joint activities - Lack of capita</t>
  </si>
  <si>
    <t>655 - Profit share from joint activities - Lack of capital</t>
  </si>
  <si>
    <t>6551 - Profit share from joint activities - lack of capital</t>
  </si>
  <si>
    <t>656 - Fines, grants, gifts, awards and donations</t>
  </si>
  <si>
    <t>6561 - Fines, grants, gifts, awards and donations</t>
  </si>
  <si>
    <t>6561.01 - Encouragement, donations - cost of services</t>
  </si>
  <si>
    <t>6561.02 - Encouragement, donations - Cost of selling services</t>
  </si>
  <si>
    <t>6561.03 - Promotion, donations - Administrative expenses</t>
  </si>
  <si>
    <t>6562 - Gift, reward</t>
  </si>
  <si>
    <t>6562.01 - Gifts, awards - cost of services</t>
  </si>
  <si>
    <t>6562.02 - Gifts, awards - Service sales expenses</t>
  </si>
  <si>
    <t>6562.03 - Gifts, awards - Administrative expenses</t>
  </si>
  <si>
    <t>6563 - Fines,</t>
  </si>
  <si>
    <t>6563.01 - Fine, - Service cost</t>
  </si>
  <si>
    <t>6563.02 - Fines, - Cost of selling services</t>
  </si>
  <si>
    <t>6563.03 - Fines, - Administrative expenses</t>
  </si>
  <si>
    <t>657 - Lack of capital from the exchange of fixed assets</t>
  </si>
  <si>
    <t>6571 - Lack of capital from the exchange of fixed assets</t>
  </si>
  <si>
    <t>658 - Other expenses in business</t>
  </si>
  <si>
    <t>6581 - Other business expenses</t>
  </si>
  <si>
    <t>6581.01 - Other business expenses</t>
  </si>
  <si>
    <t>6581.02 - Other business expenses</t>
  </si>
  <si>
    <t>6581.03 - Other business expenses</t>
  </si>
  <si>
    <t>Thanaleng Dry Port Sole Co.,Ltd</t>
  </si>
  <si>
    <t xml:space="preserve">Statement of Financial Position -Balance Sheet </t>
  </si>
  <si>
    <t>As at 31 December 2024</t>
  </si>
  <si>
    <t>As on  3 1-01-2024</t>
  </si>
  <si>
    <t>2022</t>
  </si>
  <si>
    <t>Year to  Date</t>
  </si>
  <si>
    <t>LAK</t>
  </si>
  <si>
    <t>Name: Mr. Viengkhone Sitthixay</t>
  </si>
  <si>
    <t>Position: Managing Director</t>
  </si>
  <si>
    <t>Service revenues</t>
  </si>
  <si>
    <t>A</t>
  </si>
  <si>
    <t xml:space="preserve">Import </t>
  </si>
  <si>
    <t>B</t>
  </si>
  <si>
    <t>Export</t>
  </si>
  <si>
    <t>C</t>
  </si>
  <si>
    <t>Transit</t>
  </si>
  <si>
    <t>D</t>
  </si>
  <si>
    <t>Other Income</t>
  </si>
  <si>
    <t>Total Income</t>
  </si>
  <si>
    <t>Cost of services</t>
  </si>
  <si>
    <t>Gress Profit</t>
  </si>
  <si>
    <t>Expenses</t>
  </si>
  <si>
    <t>Salary expenses</t>
  </si>
  <si>
    <t>Administrative expenses</t>
  </si>
  <si>
    <t>Outsource IT services</t>
  </si>
  <si>
    <t>Foreign exchange (loss)/gain, net</t>
  </si>
  <si>
    <t>Other incomes and expenses</t>
  </si>
  <si>
    <t>Taxes and Stamp expenses</t>
  </si>
  <si>
    <t>Consultation expenses</t>
  </si>
  <si>
    <t>Utilities expense</t>
  </si>
  <si>
    <t>Office rental expenses</t>
  </si>
  <si>
    <t>Depreciation expenses</t>
  </si>
  <si>
    <t>Repair and maintenances expenses</t>
  </si>
  <si>
    <t>Advertising expenses</t>
  </si>
  <si>
    <t>Finance cost</t>
  </si>
  <si>
    <t>Net loss before income tax expenses</t>
  </si>
  <si>
    <t>Income tax expenses</t>
  </si>
  <si>
    <t>EXPORT</t>
  </si>
  <si>
    <t>Lao to Thai - Truck</t>
  </si>
  <si>
    <t>Lao to Thai - Container- Via Truck</t>
  </si>
  <si>
    <t xml:space="preserve">Lao to Thai - Container- Via Rail </t>
  </si>
  <si>
    <t xml:space="preserve">Lao to China - Container Via Rail </t>
  </si>
  <si>
    <t xml:space="preserve">Total Export </t>
  </si>
  <si>
    <t>IMPORT</t>
  </si>
  <si>
    <t>Thai to Lao- Truck</t>
  </si>
  <si>
    <t>Thai to Laos- Container- Via Truck</t>
  </si>
  <si>
    <t>Thai to Laos- Container- Via Rail</t>
  </si>
  <si>
    <t>China  to Laos - Container Via Rail</t>
  </si>
  <si>
    <t>Total Import</t>
  </si>
  <si>
    <t>China  to Thai- Container- Via Rail</t>
  </si>
  <si>
    <t>Thai to China   - Container Via Rail</t>
  </si>
  <si>
    <t>Total Transit</t>
  </si>
  <si>
    <t>Other Expenses</t>
  </si>
  <si>
    <t>Office Supplies</t>
  </si>
  <si>
    <t>fuel Expenses</t>
  </si>
  <si>
    <t xml:space="preserve"> Insurance Expenses</t>
  </si>
  <si>
    <t>Travelling Expenses</t>
  </si>
  <si>
    <t>Bank Charges</t>
  </si>
  <si>
    <t>Financial expenses</t>
  </si>
  <si>
    <t>Interest Expenses</t>
  </si>
  <si>
    <t>Insurance Expenses</t>
  </si>
  <si>
    <t>Fuel Expenses</t>
  </si>
  <si>
    <t>Mr. Viengkhone Sitthixay</t>
  </si>
  <si>
    <t>Mr. Adnan Ghani</t>
  </si>
  <si>
    <t>Ms. Manichanh Soutthavong</t>
  </si>
  <si>
    <t>Managing Director</t>
  </si>
  <si>
    <t xml:space="preserve">Director Finance </t>
  </si>
  <si>
    <t>Accounting Manager</t>
  </si>
  <si>
    <t xml:space="preserve">Vientiane Capital, Lao PDR </t>
  </si>
  <si>
    <t>Net Profit ( loss)  for the period</t>
  </si>
  <si>
    <t>For the Perioed Ended 31-012-2024</t>
  </si>
  <si>
    <t xml:space="preserve">Statement of Financial Position - Profit and Loss Account </t>
  </si>
  <si>
    <t xml:space="preserve">Other Income </t>
  </si>
  <si>
    <t xml:space="preserve">Financial Cost </t>
  </si>
  <si>
    <t xml:space="preserve">Other Expenses </t>
  </si>
  <si>
    <t>Operation Profit (Loss)</t>
  </si>
  <si>
    <t>6311.01</t>
  </si>
  <si>
    <t>6311.03</t>
  </si>
  <si>
    <t>Date From</t>
  </si>
  <si>
    <t>Date To</t>
  </si>
  <si>
    <t>www</t>
  </si>
  <si>
    <t>Import</t>
  </si>
  <si>
    <t>Search Form</t>
  </si>
  <si>
    <t>(LAK)</t>
  </si>
  <si>
    <t>All Date</t>
  </si>
  <si>
    <t>2024-01-01 - 2024-01-05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</si>
</sst>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-* #,##0_-;\-* #,##0_-;_-* &quot;-&quot;??_-;_-@_-"/>
    <numFmt numFmtId="165" formatCode="#,##0;\(#,##0\);\-"/>
    <numFmt numFmtId="166" formatCode="_(* #,##0_);_(* \(#,##0\);_(* &quot;-&quot;??_);_(@_)"/>
    <numFmt numFmtId="167" formatCode="#,##0.00;\(#,##0.00\)"/>
  </numFmts>
  <fonts count="49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0"/>
      <color theme="1"/>
      <name val="Arial Unicode MS"/>
      <family val="2"/>
    </font>
    <font>
      <b/>
      <sz val="10"/>
      <color theme="1"/>
      <name val="Arial Unicode MS"/>
      <family val="2"/>
    </font>
    <font>
      <sz val="11"/>
      <color rgb="FF000000"/>
      <name val="Calibri"/>
      <family val="2"/>
      <scheme val="minor"/>
    </font>
    <font>
      <sz val="10"/>
      <color rgb="FF0C0C0C"/>
      <name val="Arial"/>
      <family val="2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rgb="FFFF0000"/>
      <name val="Arial Unicode MS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  <charset val="238"/>
      <scheme val="minor"/>
    </font>
    <font>
      <sz val="10"/>
      <name val="Arial Unicode MS"/>
      <family val="2"/>
    </font>
    <font>
      <b/>
      <sz val="12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b/>
      <sz val="20"/>
      <color theme="1"/>
      <name val="Calibri"/>
      <family val="2"/>
      <scheme val="minor"/>
    </font>
    <font>
      <b/>
      <sz val="20"/>
      <color rgb="FF0070C0"/>
      <name val="Calibri"/>
      <family val="2"/>
      <scheme val="minor"/>
    </font>
    <font>
      <sz val="20"/>
      <color indexed="10"/>
      <name val="Angsana New"/>
      <family val="1"/>
      <charset val="222"/>
    </font>
    <font>
      <sz val="20"/>
      <color indexed="18"/>
      <name val="Angsana New"/>
      <family val="1"/>
      <charset val="222"/>
    </font>
    <font>
      <b/>
      <sz val="10"/>
      <color theme="0"/>
      <name val="Phetsarath OT"/>
    </font>
    <font>
      <sz val="11"/>
      <color theme="0"/>
      <name val="Phetsarath OT"/>
    </font>
    <font>
      <sz val="10"/>
      <color theme="0"/>
      <name val="Phetsarath OT"/>
    </font>
    <font>
      <sz val="10"/>
      <color rgb="FF000000"/>
      <name val="Phetsarath OT"/>
    </font>
    <font>
      <sz val="11"/>
      <color rgb="FF000000"/>
      <name val="Phetsarath OT"/>
    </font>
    <font>
      <sz val="10"/>
      <color rgb="FF0C0C0C"/>
      <name val="Phetsarath OT"/>
    </font>
    <font>
      <b/>
      <sz val="10"/>
      <color rgb="FF0C0C0C"/>
      <name val="Phetsarath OT"/>
    </font>
    <font>
      <b/>
      <sz val="10"/>
      <color rgb="FF000000"/>
      <name val="Phetsarath OT"/>
    </font>
    <font>
      <sz val="10"/>
      <color theme="1"/>
      <name val="Phetsarath OT"/>
    </font>
    <font>
      <b/>
      <sz val="10"/>
      <color rgb="FFFF0000"/>
      <name val="Phetsarath OT"/>
    </font>
    <font>
      <sz val="11"/>
      <color theme="1"/>
      <name val="Phetsarath OT"/>
    </font>
  </fonts>
  <fills count="5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rgb="FFC0000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ck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rgb="FFC00000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rgb="FFC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rgb="FFC00000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rgb="FFC00000"/>
      </right>
      <top style="thin">
        <color auto="1"/>
      </top>
      <bottom/>
      <diagonal/>
    </border>
    <border>
      <left style="thin">
        <color auto="1"/>
      </left>
      <right style="thick">
        <color rgb="FFC00000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theme="1"/>
      </left>
      <right/>
      <top style="thin">
        <color theme="1"/>
      </top>
      <bottom style="thin">
        <color theme="1"/>
      </bottom>
      <diagonal/>
    </border>
    <border>
      <left style="thick">
        <color theme="1"/>
      </left>
      <right/>
      <top style="thin">
        <color theme="1"/>
      </top>
      <bottom style="thick">
        <color theme="1"/>
      </bottom>
      <diagonal/>
    </border>
    <border>
      <left/>
      <right style="thick">
        <color rgb="FFC00000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8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43" fontId="2" fillId="0" borderId="0" applyFont="0" applyFill="0" applyBorder="0" applyAlignment="0" applyProtection="0"/>
    <xf numFmtId="0" fontId="21" fillId="0" borderId="0"/>
    <xf numFmtId="0" fontId="1" fillId="0" borderId="0"/>
    <xf numFmtId="0" fontId="26" fillId="0" borderId="0"/>
    <xf numFmtId="0" fontId="1" fillId="8" borderId="8" applyNumberFormat="0" applyFont="0" applyAlignment="0" applyProtection="0"/>
    <xf numFmtId="43" fontId="1" fillId="0" borderId="0" applyFont="0" applyFill="0" applyBorder="0" applyAlignment="0" applyProtection="0"/>
  </cellStyleXfs>
  <cellXfs count="251">
    <xf numFmtId="0" fontId="0" fillId="0" borderId="0" xfId="0"/>
    <xf numFmtId="0" fontId="19" fillId="0" borderId="0" xfId="0" applyFont="1" applyAlignment="1">
      <alignment horizontal="left" vertical="center"/>
    </xf>
    <xf numFmtId="0" fontId="19" fillId="33" borderId="0" xfId="0" applyFont="1" applyFill="1" applyAlignment="1">
      <alignment horizontal="left" vertical="center"/>
    </xf>
    <xf numFmtId="0" fontId="0" fillId="33" borderId="0" xfId="0" applyFill="1"/>
    <xf numFmtId="0" fontId="17" fillId="33" borderId="0" xfId="0" applyFont="1" applyFill="1"/>
    <xf numFmtId="0" fontId="20" fillId="33" borderId="0" xfId="0" applyFont="1" applyFill="1" applyAlignment="1">
      <alignment horizontal="left" vertical="center"/>
    </xf>
    <xf numFmtId="0" fontId="22" fillId="0" borderId="0" xfId="43" applyFont="1" applyAlignment="1">
      <alignment vertical="center"/>
    </xf>
    <xf numFmtId="0" fontId="23" fillId="0" borderId="0" xfId="0" applyFont="1"/>
    <xf numFmtId="0" fontId="23" fillId="35" borderId="0" xfId="0" applyFont="1" applyFill="1"/>
    <xf numFmtId="0" fontId="23" fillId="0" borderId="14" xfId="0" applyFont="1" applyBorder="1"/>
    <xf numFmtId="0" fontId="0" fillId="0" borderId="0" xfId="0" applyAlignment="1">
      <alignment horizontal="left" indent="1"/>
    </xf>
    <xf numFmtId="43" fontId="0" fillId="0" borderId="0" xfId="42" applyFont="1"/>
    <xf numFmtId="43" fontId="0" fillId="33" borderId="0" xfId="42" applyFont="1" applyFill="1"/>
    <xf numFmtId="2" fontId="19" fillId="0" borderId="0" xfId="0" applyNumberFormat="1" applyFont="1" applyAlignment="1">
      <alignment horizontal="left" vertical="center"/>
    </xf>
    <xf numFmtId="43" fontId="19" fillId="0" borderId="0" xfId="42" applyFont="1" applyAlignment="1">
      <alignment horizontal="left" vertical="center"/>
    </xf>
    <xf numFmtId="0" fontId="19" fillId="36" borderId="0" xfId="0" applyFont="1" applyFill="1" applyAlignment="1">
      <alignment horizontal="left" vertical="center"/>
    </xf>
    <xf numFmtId="0" fontId="22" fillId="36" borderId="0" xfId="43" applyFont="1" applyFill="1" applyAlignment="1">
      <alignment vertical="center"/>
    </xf>
    <xf numFmtId="0" fontId="0" fillId="37" borderId="0" xfId="0" applyFill="1"/>
    <xf numFmtId="0" fontId="19" fillId="37" borderId="0" xfId="0" applyFont="1" applyFill="1" applyAlignment="1">
      <alignment horizontal="left" vertical="center"/>
    </xf>
    <xf numFmtId="0" fontId="22" fillId="37" borderId="0" xfId="43" applyFont="1" applyFill="1" applyAlignment="1">
      <alignment vertical="center"/>
    </xf>
    <xf numFmtId="0" fontId="0" fillId="38" borderId="0" xfId="0" applyFill="1"/>
    <xf numFmtId="0" fontId="19" fillId="38" borderId="0" xfId="0" applyFont="1" applyFill="1" applyAlignment="1">
      <alignment horizontal="left" vertical="center"/>
    </xf>
    <xf numFmtId="0" fontId="22" fillId="38" borderId="0" xfId="43" applyFont="1" applyFill="1" applyAlignment="1">
      <alignment vertical="center"/>
    </xf>
    <xf numFmtId="0" fontId="0" fillId="39" borderId="0" xfId="0" applyFill="1"/>
    <xf numFmtId="0" fontId="19" fillId="39" borderId="0" xfId="0" applyFont="1" applyFill="1" applyAlignment="1">
      <alignment horizontal="left" vertical="center"/>
    </xf>
    <xf numFmtId="0" fontId="22" fillId="39" borderId="0" xfId="43" applyFont="1" applyFill="1" applyAlignment="1">
      <alignment vertical="center"/>
    </xf>
    <xf numFmtId="0" fontId="0" fillId="40" borderId="0" xfId="0" applyFill="1"/>
    <xf numFmtId="0" fontId="19" fillId="40" borderId="0" xfId="0" applyFont="1" applyFill="1" applyAlignment="1">
      <alignment horizontal="left" vertical="center"/>
    </xf>
    <xf numFmtId="0" fontId="22" fillId="40" borderId="0" xfId="43" applyFont="1" applyFill="1" applyAlignment="1">
      <alignment vertical="center"/>
    </xf>
    <xf numFmtId="0" fontId="0" fillId="41" borderId="0" xfId="0" applyFill="1"/>
    <xf numFmtId="0" fontId="19" fillId="41" borderId="0" xfId="0" applyFont="1" applyFill="1" applyAlignment="1">
      <alignment horizontal="left" vertical="center"/>
    </xf>
    <xf numFmtId="0" fontId="22" fillId="41" borderId="0" xfId="43" applyFont="1" applyFill="1" applyAlignment="1">
      <alignment vertical="center"/>
    </xf>
    <xf numFmtId="0" fontId="0" fillId="42" borderId="0" xfId="0" applyFill="1"/>
    <xf numFmtId="0" fontId="19" fillId="42" borderId="0" xfId="0" applyFont="1" applyFill="1" applyAlignment="1">
      <alignment horizontal="left" vertical="center"/>
    </xf>
    <xf numFmtId="0" fontId="22" fillId="42" borderId="0" xfId="43" applyFont="1" applyFill="1" applyAlignment="1">
      <alignment vertical="center"/>
    </xf>
    <xf numFmtId="0" fontId="0" fillId="43" borderId="0" xfId="0" applyFill="1"/>
    <xf numFmtId="0" fontId="19" fillId="43" borderId="0" xfId="0" applyFont="1" applyFill="1" applyAlignment="1">
      <alignment horizontal="left" vertical="center"/>
    </xf>
    <xf numFmtId="0" fontId="22" fillId="43" borderId="0" xfId="43" applyFont="1" applyFill="1" applyAlignment="1">
      <alignment vertical="center"/>
    </xf>
    <xf numFmtId="0" fontId="0" fillId="44" borderId="0" xfId="0" applyFill="1"/>
    <xf numFmtId="0" fontId="19" fillId="44" borderId="0" xfId="0" applyFont="1" applyFill="1" applyAlignment="1">
      <alignment horizontal="left" vertical="center"/>
    </xf>
    <xf numFmtId="0" fontId="22" fillId="44" borderId="0" xfId="43" applyFont="1" applyFill="1" applyAlignment="1">
      <alignment vertical="center"/>
    </xf>
    <xf numFmtId="0" fontId="0" fillId="45" borderId="0" xfId="0" applyFill="1"/>
    <xf numFmtId="0" fontId="19" fillId="45" borderId="0" xfId="0" applyFont="1" applyFill="1" applyAlignment="1">
      <alignment horizontal="left" vertical="center"/>
    </xf>
    <xf numFmtId="0" fontId="22" fillId="45" borderId="0" xfId="43" applyFont="1" applyFill="1" applyAlignment="1">
      <alignment vertical="center"/>
    </xf>
    <xf numFmtId="0" fontId="0" fillId="46" borderId="0" xfId="0" applyFill="1"/>
    <xf numFmtId="0" fontId="19" fillId="46" borderId="0" xfId="0" applyFont="1" applyFill="1" applyAlignment="1">
      <alignment horizontal="left" vertical="center"/>
    </xf>
    <xf numFmtId="0" fontId="22" fillId="46" borderId="0" xfId="43" applyFont="1" applyFill="1" applyAlignment="1">
      <alignment vertical="center"/>
    </xf>
    <xf numFmtId="0" fontId="0" fillId="47" borderId="0" xfId="0" applyFill="1"/>
    <xf numFmtId="0" fontId="19" fillId="47" borderId="0" xfId="0" applyFont="1" applyFill="1" applyAlignment="1">
      <alignment horizontal="left" vertical="center"/>
    </xf>
    <xf numFmtId="0" fontId="22" fillId="47" borderId="0" xfId="43" applyFont="1" applyFill="1" applyAlignment="1">
      <alignment vertical="center"/>
    </xf>
    <xf numFmtId="0" fontId="0" fillId="48" borderId="0" xfId="0" applyFill="1"/>
    <xf numFmtId="0" fontId="19" fillId="48" borderId="0" xfId="0" applyFont="1" applyFill="1" applyAlignment="1">
      <alignment horizontal="left" vertical="center"/>
    </xf>
    <xf numFmtId="0" fontId="22" fillId="48" borderId="0" xfId="43" applyFont="1" applyFill="1" applyAlignment="1">
      <alignment vertical="center"/>
    </xf>
    <xf numFmtId="0" fontId="25" fillId="36" borderId="0" xfId="0" applyFont="1" applyFill="1" applyAlignment="1">
      <alignment horizontal="left" vertical="center"/>
    </xf>
    <xf numFmtId="0" fontId="24" fillId="36" borderId="0" xfId="43" applyFont="1" applyFill="1" applyAlignment="1">
      <alignment vertical="center"/>
    </xf>
    <xf numFmtId="0" fontId="25" fillId="37" borderId="0" xfId="0" applyFont="1" applyFill="1" applyAlignment="1">
      <alignment horizontal="left" vertical="center"/>
    </xf>
    <xf numFmtId="0" fontId="0" fillId="49" borderId="0" xfId="0" applyFill="1"/>
    <xf numFmtId="0" fontId="19" fillId="49" borderId="0" xfId="0" applyFont="1" applyFill="1" applyAlignment="1">
      <alignment horizontal="left" vertical="center"/>
    </xf>
    <xf numFmtId="0" fontId="22" fillId="49" borderId="0" xfId="43" applyFont="1" applyFill="1" applyAlignment="1">
      <alignment vertical="center"/>
    </xf>
    <xf numFmtId="0" fontId="0" fillId="50" borderId="0" xfId="0" applyFill="1"/>
    <xf numFmtId="0" fontId="19" fillId="50" borderId="0" xfId="0" applyFont="1" applyFill="1" applyAlignment="1">
      <alignment horizontal="left" vertical="center"/>
    </xf>
    <xf numFmtId="0" fontId="22" fillId="50" borderId="0" xfId="43" applyFont="1" applyFill="1" applyAlignment="1">
      <alignment vertical="center"/>
    </xf>
    <xf numFmtId="0" fontId="26" fillId="34" borderId="20" xfId="43" applyFont="1" applyFill="1" applyBorder="1" applyAlignment="1">
      <alignment vertical="center"/>
    </xf>
    <xf numFmtId="0" fontId="27" fillId="34" borderId="0" xfId="43" applyFont="1" applyFill="1"/>
    <xf numFmtId="0" fontId="28" fillId="34" borderId="19" xfId="43" applyFont="1" applyFill="1" applyBorder="1" applyAlignment="1">
      <alignment vertical="center"/>
    </xf>
    <xf numFmtId="0" fontId="29" fillId="34" borderId="20" xfId="0" applyFont="1" applyFill="1" applyBorder="1"/>
    <xf numFmtId="0" fontId="0" fillId="36" borderId="0" xfId="0" applyFill="1"/>
    <xf numFmtId="0" fontId="28" fillId="34" borderId="52" xfId="43" applyFont="1" applyFill="1" applyBorder="1" applyAlignment="1">
      <alignment vertical="center"/>
    </xf>
    <xf numFmtId="164" fontId="26" fillId="34" borderId="0" xfId="42" applyNumberFormat="1" applyFont="1" applyFill="1" applyAlignment="1">
      <alignment vertical="center"/>
    </xf>
    <xf numFmtId="43" fontId="26" fillId="34" borderId="10" xfId="42" applyFont="1" applyFill="1" applyBorder="1"/>
    <xf numFmtId="0" fontId="28" fillId="34" borderId="0" xfId="43" applyFont="1" applyFill="1" applyAlignment="1">
      <alignment vertical="center"/>
    </xf>
    <xf numFmtId="0" fontId="26" fillId="34" borderId="0" xfId="43" applyFont="1" applyFill="1" applyAlignment="1">
      <alignment vertical="center"/>
    </xf>
    <xf numFmtId="165" fontId="26" fillId="34" borderId="0" xfId="43" applyNumberFormat="1" applyFont="1" applyFill="1" applyAlignment="1">
      <alignment horizontal="center" vertical="center"/>
    </xf>
    <xf numFmtId="43" fontId="28" fillId="34" borderId="10" xfId="42" applyFont="1" applyFill="1" applyBorder="1" applyAlignment="1">
      <alignment vertical="top"/>
    </xf>
    <xf numFmtId="43" fontId="26" fillId="34" borderId="10" xfId="42" applyFont="1" applyFill="1" applyBorder="1" applyAlignment="1">
      <alignment vertical="top"/>
    </xf>
    <xf numFmtId="0" fontId="28" fillId="34" borderId="11" xfId="43" applyFont="1" applyFill="1" applyBorder="1" applyAlignment="1">
      <alignment vertical="center"/>
    </xf>
    <xf numFmtId="0" fontId="26" fillId="34" borderId="12" xfId="43" applyFont="1" applyFill="1" applyBorder="1" applyAlignment="1">
      <alignment vertical="center"/>
    </xf>
    <xf numFmtId="165" fontId="26" fillId="34" borderId="12" xfId="43" applyNumberFormat="1" applyFont="1" applyFill="1" applyBorder="1" applyAlignment="1">
      <alignment horizontal="center" vertical="center"/>
    </xf>
    <xf numFmtId="0" fontId="26" fillId="34" borderId="0" xfId="43" applyFont="1" applyFill="1" applyAlignment="1">
      <alignment vertical="top"/>
    </xf>
    <xf numFmtId="164" fontId="28" fillId="34" borderId="0" xfId="42" applyNumberFormat="1" applyFont="1" applyFill="1" applyAlignment="1">
      <alignment horizontal="center" vertical="center"/>
    </xf>
    <xf numFmtId="0" fontId="26" fillId="34" borderId="16" xfId="43" applyFont="1" applyFill="1" applyBorder="1" applyAlignment="1">
      <alignment vertical="center"/>
    </xf>
    <xf numFmtId="0" fontId="26" fillId="34" borderId="17" xfId="43" applyFont="1" applyFill="1" applyBorder="1" applyAlignment="1">
      <alignment vertical="center"/>
    </xf>
    <xf numFmtId="164" fontId="26" fillId="34" borderId="17" xfId="42" applyNumberFormat="1" applyFont="1" applyFill="1" applyBorder="1" applyAlignment="1">
      <alignment vertical="center"/>
    </xf>
    <xf numFmtId="164" fontId="26" fillId="34" borderId="18" xfId="42" applyNumberFormat="1" applyFont="1" applyFill="1" applyBorder="1" applyAlignment="1">
      <alignment vertical="center"/>
    </xf>
    <xf numFmtId="43" fontId="26" fillId="34" borderId="0" xfId="42" applyFont="1" applyFill="1" applyBorder="1" applyAlignment="1">
      <alignment vertical="top"/>
    </xf>
    <xf numFmtId="0" fontId="26" fillId="34" borderId="19" xfId="43" applyFont="1" applyFill="1" applyBorder="1" applyAlignment="1">
      <alignment vertical="center"/>
    </xf>
    <xf numFmtId="164" fontId="26" fillId="34" borderId="20" xfId="42" applyNumberFormat="1" applyFont="1" applyFill="1" applyBorder="1" applyAlignment="1">
      <alignment vertical="center"/>
    </xf>
    <xf numFmtId="164" fontId="26" fillId="34" borderId="21" xfId="42" applyNumberFormat="1" applyFont="1" applyFill="1" applyBorder="1" applyAlignment="1">
      <alignment vertical="center"/>
    </xf>
    <xf numFmtId="0" fontId="30" fillId="34" borderId="20" xfId="0" applyFont="1" applyFill="1" applyBorder="1" applyAlignment="1">
      <alignment horizontal="left" vertical="center"/>
    </xf>
    <xf numFmtId="0" fontId="26" fillId="34" borderId="22" xfId="43" applyFont="1" applyFill="1" applyBorder="1" applyAlignment="1">
      <alignment vertical="center"/>
    </xf>
    <xf numFmtId="0" fontId="26" fillId="34" borderId="23" xfId="43" applyFont="1" applyFill="1" applyBorder="1" applyAlignment="1">
      <alignment vertical="center"/>
    </xf>
    <xf numFmtId="164" fontId="26" fillId="34" borderId="23" xfId="42" applyNumberFormat="1" applyFont="1" applyFill="1" applyBorder="1" applyAlignment="1">
      <alignment vertical="center"/>
    </xf>
    <xf numFmtId="164" fontId="26" fillId="34" borderId="24" xfId="42" applyNumberFormat="1" applyFont="1" applyFill="1" applyBorder="1" applyAlignment="1">
      <alignment vertical="center"/>
    </xf>
    <xf numFmtId="0" fontId="30" fillId="34" borderId="23" xfId="0" applyFont="1" applyFill="1" applyBorder="1" applyAlignment="1">
      <alignment horizontal="left" vertical="center"/>
    </xf>
    <xf numFmtId="0" fontId="31" fillId="34" borderId="0" xfId="43" applyFont="1" applyFill="1" applyAlignment="1">
      <alignment vertical="center"/>
    </xf>
    <xf numFmtId="0" fontId="26" fillId="34" borderId="28" xfId="43" applyFont="1" applyFill="1" applyBorder="1" applyAlignment="1">
      <alignment vertical="center"/>
    </xf>
    <xf numFmtId="0" fontId="26" fillId="34" borderId="29" xfId="43" applyFont="1" applyFill="1" applyBorder="1" applyAlignment="1">
      <alignment vertical="center"/>
    </xf>
    <xf numFmtId="164" fontId="26" fillId="34" borderId="29" xfId="42" applyNumberFormat="1" applyFont="1" applyFill="1" applyBorder="1" applyAlignment="1">
      <alignment vertical="center"/>
    </xf>
    <xf numFmtId="164" fontId="26" fillId="34" borderId="30" xfId="42" applyNumberFormat="1" applyFont="1" applyFill="1" applyBorder="1" applyAlignment="1">
      <alignment vertical="center"/>
    </xf>
    <xf numFmtId="0" fontId="26" fillId="34" borderId="25" xfId="43" applyFont="1" applyFill="1" applyBorder="1" applyAlignment="1">
      <alignment vertical="center"/>
    </xf>
    <xf numFmtId="0" fontId="26" fillId="34" borderId="26" xfId="43" applyFont="1" applyFill="1" applyBorder="1" applyAlignment="1">
      <alignment vertical="center"/>
    </xf>
    <xf numFmtId="164" fontId="26" fillId="34" borderId="26" xfId="42" applyNumberFormat="1" applyFont="1" applyFill="1" applyBorder="1" applyAlignment="1">
      <alignment vertical="center"/>
    </xf>
    <xf numFmtId="164" fontId="26" fillId="34" borderId="27" xfId="42" applyNumberFormat="1" applyFont="1" applyFill="1" applyBorder="1" applyAlignment="1">
      <alignment vertical="center"/>
    </xf>
    <xf numFmtId="0" fontId="26" fillId="34" borderId="13" xfId="43" applyFont="1" applyFill="1" applyBorder="1" applyAlignment="1">
      <alignment vertical="center"/>
    </xf>
    <xf numFmtId="164" fontId="26" fillId="34" borderId="13" xfId="42" applyNumberFormat="1" applyFont="1" applyFill="1" applyBorder="1" applyAlignment="1">
      <alignment vertical="center"/>
    </xf>
    <xf numFmtId="0" fontId="32" fillId="34" borderId="0" xfId="43" applyFont="1" applyFill="1"/>
    <xf numFmtId="164" fontId="27" fillId="34" borderId="0" xfId="42" applyNumberFormat="1" applyFont="1" applyFill="1"/>
    <xf numFmtId="0" fontId="28" fillId="34" borderId="0" xfId="43" applyFont="1" applyFill="1" applyAlignment="1">
      <alignment vertical="top"/>
    </xf>
    <xf numFmtId="0" fontId="29" fillId="34" borderId="16" xfId="0" applyFont="1" applyFill="1" applyBorder="1"/>
    <xf numFmtId="0" fontId="29" fillId="34" borderId="17" xfId="0" applyFont="1" applyFill="1" applyBorder="1"/>
    <xf numFmtId="0" fontId="28" fillId="34" borderId="17" xfId="43" applyFont="1" applyFill="1" applyBorder="1" applyAlignment="1">
      <alignment vertical="center"/>
    </xf>
    <xf numFmtId="164" fontId="28" fillId="34" borderId="17" xfId="42" applyNumberFormat="1" applyFont="1" applyFill="1" applyBorder="1" applyAlignment="1">
      <alignment vertical="center"/>
    </xf>
    <xf numFmtId="164" fontId="28" fillId="34" borderId="18" xfId="42" applyNumberFormat="1" applyFont="1" applyFill="1" applyBorder="1" applyAlignment="1">
      <alignment vertical="center"/>
    </xf>
    <xf numFmtId="43" fontId="28" fillId="34" borderId="0" xfId="42" applyFont="1" applyFill="1" applyBorder="1" applyAlignment="1">
      <alignment vertical="top"/>
    </xf>
    <xf numFmtId="0" fontId="26" fillId="34" borderId="52" xfId="43" applyFont="1" applyFill="1" applyBorder="1" applyAlignment="1">
      <alignment vertical="center"/>
    </xf>
    <xf numFmtId="0" fontId="28" fillId="34" borderId="31" xfId="43" applyFont="1" applyFill="1" applyBorder="1" applyAlignment="1">
      <alignment vertical="center"/>
    </xf>
    <xf numFmtId="0" fontId="26" fillId="34" borderId="32" xfId="43" applyFont="1" applyFill="1" applyBorder="1" applyAlignment="1">
      <alignment vertical="center"/>
    </xf>
    <xf numFmtId="164" fontId="26" fillId="34" borderId="32" xfId="42" applyNumberFormat="1" applyFont="1" applyFill="1" applyBorder="1" applyAlignment="1">
      <alignment vertical="center"/>
    </xf>
    <xf numFmtId="164" fontId="26" fillId="34" borderId="33" xfId="42" applyNumberFormat="1" applyFont="1" applyFill="1" applyBorder="1" applyAlignment="1">
      <alignment vertical="center"/>
    </xf>
    <xf numFmtId="0" fontId="26" fillId="34" borderId="34" xfId="43" applyFont="1" applyFill="1" applyBorder="1" applyAlignment="1">
      <alignment vertical="center"/>
    </xf>
    <xf numFmtId="0" fontId="26" fillId="34" borderId="15" xfId="43" applyFont="1" applyFill="1" applyBorder="1" applyAlignment="1">
      <alignment vertical="center"/>
    </xf>
    <xf numFmtId="164" fontId="26" fillId="34" borderId="15" xfId="42" applyNumberFormat="1" applyFont="1" applyFill="1" applyBorder="1" applyAlignment="1">
      <alignment vertical="center"/>
    </xf>
    <xf numFmtId="164" fontId="26" fillId="34" borderId="35" xfId="42" applyNumberFormat="1" applyFont="1" applyFill="1" applyBorder="1" applyAlignment="1">
      <alignment vertical="center"/>
    </xf>
    <xf numFmtId="0" fontId="26" fillId="34" borderId="54" xfId="43" applyFont="1" applyFill="1" applyBorder="1" applyAlignment="1">
      <alignment vertical="center"/>
    </xf>
    <xf numFmtId="0" fontId="26" fillId="34" borderId="55" xfId="43" applyFont="1" applyFill="1" applyBorder="1" applyAlignment="1">
      <alignment vertical="center"/>
    </xf>
    <xf numFmtId="0" fontId="26" fillId="34" borderId="36" xfId="43" applyFont="1" applyFill="1" applyBorder="1" applyAlignment="1">
      <alignment vertical="center"/>
    </xf>
    <xf numFmtId="0" fontId="26" fillId="34" borderId="37" xfId="43" applyFont="1" applyFill="1" applyBorder="1" applyAlignment="1">
      <alignment vertical="center"/>
    </xf>
    <xf numFmtId="164" fontId="26" fillId="34" borderId="37" xfId="42" applyNumberFormat="1" applyFont="1" applyFill="1" applyBorder="1" applyAlignment="1">
      <alignment vertical="center"/>
    </xf>
    <xf numFmtId="164" fontId="26" fillId="34" borderId="38" xfId="42" applyNumberFormat="1" applyFont="1" applyFill="1" applyBorder="1" applyAlignment="1">
      <alignment vertical="center"/>
    </xf>
    <xf numFmtId="0" fontId="28" fillId="34" borderId="16" xfId="43" applyFont="1" applyFill="1" applyBorder="1" applyAlignment="1">
      <alignment vertical="center"/>
    </xf>
    <xf numFmtId="0" fontId="26" fillId="34" borderId="57" xfId="43" applyFont="1" applyFill="1" applyBorder="1" applyAlignment="1">
      <alignment vertical="center"/>
    </xf>
    <xf numFmtId="0" fontId="27" fillId="34" borderId="42" xfId="43" applyFont="1" applyFill="1" applyBorder="1"/>
    <xf numFmtId="0" fontId="26" fillId="34" borderId="39" xfId="43" applyFont="1" applyFill="1" applyBorder="1" applyAlignment="1">
      <alignment vertical="center"/>
    </xf>
    <xf numFmtId="0" fontId="26" fillId="34" borderId="40" xfId="43" applyFont="1" applyFill="1" applyBorder="1" applyAlignment="1">
      <alignment vertical="center"/>
    </xf>
    <xf numFmtId="164" fontId="26" fillId="34" borderId="40" xfId="42" applyNumberFormat="1" applyFont="1" applyFill="1" applyBorder="1" applyAlignment="1">
      <alignment vertical="center"/>
    </xf>
    <xf numFmtId="164" fontId="26" fillId="34" borderId="41" xfId="42" applyNumberFormat="1" applyFont="1" applyFill="1" applyBorder="1" applyAlignment="1">
      <alignment vertical="center"/>
    </xf>
    <xf numFmtId="0" fontId="27" fillId="34" borderId="19" xfId="43" applyFont="1" applyFill="1" applyBorder="1"/>
    <xf numFmtId="0" fontId="27" fillId="34" borderId="20" xfId="43" applyFont="1" applyFill="1" applyBorder="1"/>
    <xf numFmtId="0" fontId="27" fillId="34" borderId="21" xfId="43" applyFont="1" applyFill="1" applyBorder="1"/>
    <xf numFmtId="0" fontId="26" fillId="34" borderId="43" xfId="43" applyFont="1" applyFill="1" applyBorder="1" applyAlignment="1">
      <alignment vertical="center"/>
    </xf>
    <xf numFmtId="0" fontId="26" fillId="34" borderId="44" xfId="43" applyFont="1" applyFill="1" applyBorder="1" applyAlignment="1">
      <alignment vertical="center"/>
    </xf>
    <xf numFmtId="164" fontId="26" fillId="34" borderId="44" xfId="42" applyNumberFormat="1" applyFont="1" applyFill="1" applyBorder="1" applyAlignment="1">
      <alignment vertical="center"/>
    </xf>
    <xf numFmtId="164" fontId="26" fillId="34" borderId="45" xfId="42" applyNumberFormat="1" applyFont="1" applyFill="1" applyBorder="1" applyAlignment="1">
      <alignment vertical="center"/>
    </xf>
    <xf numFmtId="164" fontId="27" fillId="34" borderId="20" xfId="42" applyNumberFormat="1" applyFont="1" applyFill="1" applyBorder="1"/>
    <xf numFmtId="164" fontId="27" fillId="34" borderId="21" xfId="42" applyNumberFormat="1" applyFont="1" applyFill="1" applyBorder="1"/>
    <xf numFmtId="43" fontId="26" fillId="34" borderId="0" xfId="42" applyFont="1" applyFill="1" applyBorder="1"/>
    <xf numFmtId="164" fontId="26" fillId="34" borderId="46" xfId="42" applyNumberFormat="1" applyFont="1" applyFill="1" applyBorder="1" applyAlignment="1">
      <alignment vertical="center"/>
    </xf>
    <xf numFmtId="0" fontId="28" fillId="34" borderId="20" xfId="43" applyFont="1" applyFill="1" applyBorder="1" applyAlignment="1">
      <alignment vertical="center"/>
    </xf>
    <xf numFmtId="164" fontId="26" fillId="34" borderId="47" xfId="42" applyNumberFormat="1" applyFont="1" applyFill="1" applyBorder="1" applyAlignment="1">
      <alignment vertical="center"/>
    </xf>
    <xf numFmtId="0" fontId="27" fillId="34" borderId="23" xfId="43" applyFont="1" applyFill="1" applyBorder="1"/>
    <xf numFmtId="164" fontId="26" fillId="34" borderId="49" xfId="42" applyNumberFormat="1" applyFont="1" applyFill="1" applyBorder="1" applyAlignment="1">
      <alignment vertical="center"/>
    </xf>
    <xf numFmtId="0" fontId="28" fillId="34" borderId="39" xfId="43" applyFont="1" applyFill="1" applyBorder="1" applyAlignment="1">
      <alignment vertical="center"/>
    </xf>
    <xf numFmtId="0" fontId="27" fillId="34" borderId="40" xfId="43" applyFont="1" applyFill="1" applyBorder="1"/>
    <xf numFmtId="164" fontId="26" fillId="34" borderId="50" xfId="42" applyNumberFormat="1" applyFont="1" applyFill="1" applyBorder="1" applyAlignment="1">
      <alignment vertical="center"/>
    </xf>
    <xf numFmtId="0" fontId="28" fillId="34" borderId="51" xfId="43" applyFont="1" applyFill="1" applyBorder="1" applyAlignment="1">
      <alignment vertical="center"/>
    </xf>
    <xf numFmtId="0" fontId="28" fillId="34" borderId="53" xfId="43" applyFont="1" applyFill="1" applyBorder="1" applyAlignment="1">
      <alignment vertical="center"/>
    </xf>
    <xf numFmtId="164" fontId="26" fillId="34" borderId="48" xfId="42" applyNumberFormat="1" applyFont="1" applyFill="1" applyBorder="1" applyAlignment="1">
      <alignment vertical="center"/>
    </xf>
    <xf numFmtId="164" fontId="28" fillId="34" borderId="0" xfId="42" applyNumberFormat="1" applyFont="1" applyFill="1" applyAlignment="1">
      <alignment horizontal="right" vertical="center"/>
    </xf>
    <xf numFmtId="166" fontId="26" fillId="34" borderId="0" xfId="43" applyNumberFormat="1" applyFont="1" applyFill="1" applyAlignment="1">
      <alignment vertical="center"/>
    </xf>
    <xf numFmtId="0" fontId="28" fillId="34" borderId="0" xfId="43" applyFont="1" applyFill="1" applyAlignment="1">
      <alignment horizontal="right" vertical="center"/>
    </xf>
    <xf numFmtId="167" fontId="28" fillId="34" borderId="0" xfId="43" applyNumberFormat="1" applyFont="1" applyFill="1" applyAlignment="1">
      <alignment horizontal="right" vertical="center"/>
    </xf>
    <xf numFmtId="164" fontId="26" fillId="34" borderId="0" xfId="42" applyNumberFormat="1" applyFont="1" applyFill="1" applyAlignment="1">
      <alignment vertical="top"/>
    </xf>
    <xf numFmtId="0" fontId="30" fillId="0" borderId="0" xfId="0" applyFont="1" applyFill="1" applyAlignment="1">
      <alignment horizontal="left" vertical="center"/>
    </xf>
    <xf numFmtId="0" fontId="33" fillId="0" borderId="0" xfId="0" applyFont="1" applyFill="1"/>
    <xf numFmtId="0" fontId="0" fillId="0" borderId="0" xfId="0"/>
    <xf numFmtId="0" fontId="0" fillId="33" borderId="0" xfId="0" applyFill="1"/>
    <xf numFmtId="0" fontId="22" fillId="41" borderId="0" xfId="43" applyFont="1" applyFill="1" applyAlignment="1">
      <alignment vertical="center"/>
    </xf>
    <xf numFmtId="0" fontId="26" fillId="41" borderId="0" xfId="43" applyFont="1" applyFill="1" applyBorder="1" applyAlignment="1">
      <alignment vertical="center"/>
    </xf>
    <xf numFmtId="0" fontId="26" fillId="41" borderId="0" xfId="43" applyFont="1" applyFill="1" applyAlignment="1">
      <alignment vertical="center"/>
    </xf>
    <xf numFmtId="0" fontId="33" fillId="41" borderId="0" xfId="0" applyFont="1" applyFill="1"/>
    <xf numFmtId="0" fontId="0" fillId="52" borderId="0" xfId="0" applyFill="1"/>
    <xf numFmtId="0" fontId="0" fillId="52" borderId="0" xfId="0" applyFill="1" applyBorder="1"/>
    <xf numFmtId="0" fontId="0" fillId="0" borderId="61" xfId="0" applyFill="1" applyBorder="1"/>
    <xf numFmtId="0" fontId="34" fillId="0" borderId="0" xfId="0" applyFont="1" applyFill="1" applyBorder="1" applyAlignment="1">
      <alignment horizontal="center" vertical="center"/>
    </xf>
    <xf numFmtId="0" fontId="34" fillId="0" borderId="62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62" xfId="0" applyFill="1" applyBorder="1"/>
    <xf numFmtId="0" fontId="0" fillId="0" borderId="63" xfId="0" applyFill="1" applyBorder="1"/>
    <xf numFmtId="0" fontId="0" fillId="0" borderId="64" xfId="0" applyFill="1" applyBorder="1"/>
    <xf numFmtId="0" fontId="0" fillId="0" borderId="65" xfId="0" applyFill="1" applyBorder="1"/>
    <xf numFmtId="0" fontId="35" fillId="0" borderId="58" xfId="0" applyFont="1" applyFill="1" applyBorder="1" applyAlignment="1">
      <alignment horizontal="center" vertical="center"/>
    </xf>
    <xf numFmtId="0" fontId="35" fillId="0" borderId="59" xfId="0" applyFont="1" applyFill="1" applyBorder="1" applyAlignment="1">
      <alignment horizontal="center" vertical="center"/>
    </xf>
    <xf numFmtId="0" fontId="35" fillId="0" borderId="60" xfId="0" applyFont="1" applyFill="1" applyBorder="1" applyAlignment="1">
      <alignment horizontal="center" vertical="center"/>
    </xf>
    <xf numFmtId="0" fontId="0" fillId="0" borderId="58" xfId="0" applyFill="1" applyBorder="1" applyAlignment="1">
      <alignment horizontal="center"/>
    </xf>
    <xf numFmtId="0" fontId="0" fillId="0" borderId="59" xfId="0" applyFill="1" applyBorder="1" applyAlignment="1">
      <alignment horizontal="center"/>
    </xf>
    <xf numFmtId="0" fontId="0" fillId="0" borderId="60" xfId="0" applyFill="1" applyBorder="1" applyAlignment="1">
      <alignment horizontal="center"/>
    </xf>
    <xf numFmtId="0" fontId="0" fillId="0" borderId="6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62" xfId="0" applyFill="1" applyBorder="1" applyAlignment="1">
      <alignment horizontal="center"/>
    </xf>
    <xf numFmtId="0" fontId="0" fillId="0" borderId="63" xfId="0" applyFill="1" applyBorder="1" applyAlignment="1">
      <alignment horizontal="center"/>
    </xf>
    <xf numFmtId="0" fontId="0" fillId="0" borderId="64" xfId="0" applyFill="1" applyBorder="1" applyAlignment="1">
      <alignment horizontal="center"/>
    </xf>
    <xf numFmtId="0" fontId="0" fillId="0" borderId="65" xfId="0" applyFill="1" applyBorder="1" applyAlignment="1">
      <alignment horizontal="center"/>
    </xf>
    <xf numFmtId="0" fontId="23" fillId="0" borderId="61" xfId="0" applyFont="1" applyFill="1" applyBorder="1"/>
    <xf numFmtId="0" fontId="23" fillId="0" borderId="61" xfId="0" applyFont="1" applyFill="1" applyBorder="1" applyAlignment="1">
      <alignment horizontal="center" vertical="center"/>
    </xf>
    <xf numFmtId="0" fontId="23" fillId="0" borderId="61" xfId="0" applyFont="1" applyFill="1" applyBorder="1" applyAlignment="1">
      <alignment horizontal="center" vertical="center"/>
    </xf>
    <xf numFmtId="0" fontId="38" fillId="52" borderId="0" xfId="43" applyFont="1" applyFill="1" applyAlignment="1">
      <alignment vertical="center"/>
    </xf>
    <xf numFmtId="0" fontId="38" fillId="52" borderId="0" xfId="43" applyFont="1" applyFill="1" applyBorder="1" applyAlignment="1">
      <alignment vertical="center"/>
    </xf>
    <xf numFmtId="0" fontId="39" fillId="52" borderId="0" xfId="43" applyFont="1" applyFill="1"/>
    <xf numFmtId="0" fontId="39" fillId="52" borderId="0" xfId="43" applyFont="1" applyFill="1" applyAlignment="1">
      <alignment horizontal="center"/>
    </xf>
    <xf numFmtId="0" fontId="39" fillId="52" borderId="0" xfId="43" applyFont="1" applyFill="1" applyAlignment="1">
      <alignment horizontal="center"/>
    </xf>
    <xf numFmtId="164" fontId="40" fillId="52" borderId="0" xfId="42" applyNumberFormat="1" applyFont="1" applyFill="1" applyAlignment="1">
      <alignment vertical="center"/>
    </xf>
    <xf numFmtId="43" fontId="41" fillId="0" borderId="10" xfId="42" applyFont="1" applyBorder="1"/>
    <xf numFmtId="0" fontId="42" fillId="0" borderId="0" xfId="43" applyFont="1"/>
    <xf numFmtId="0" fontId="38" fillId="52" borderId="56" xfId="43" applyFont="1" applyFill="1" applyBorder="1" applyAlignment="1">
      <alignment vertical="center"/>
    </xf>
    <xf numFmtId="0" fontId="39" fillId="0" borderId="0" xfId="43" applyFont="1" applyFill="1" applyAlignment="1">
      <alignment horizontal="center"/>
    </xf>
    <xf numFmtId="0" fontId="39" fillId="0" borderId="0" xfId="43" applyFont="1" applyFill="1"/>
    <xf numFmtId="164" fontId="40" fillId="0" borderId="0" xfId="42" applyNumberFormat="1" applyFont="1" applyFill="1" applyAlignment="1">
      <alignment vertical="center"/>
    </xf>
    <xf numFmtId="0" fontId="41" fillId="0" borderId="0" xfId="43" applyFont="1" applyAlignment="1">
      <alignment vertical="top"/>
    </xf>
    <xf numFmtId="0" fontId="43" fillId="0" borderId="0" xfId="43" applyFont="1" applyAlignment="1">
      <alignment vertical="center"/>
    </xf>
    <xf numFmtId="0" fontId="44" fillId="0" borderId="0" xfId="43" applyFont="1" applyAlignment="1">
      <alignment horizontal="center" vertical="center"/>
    </xf>
    <xf numFmtId="164" fontId="45" fillId="33" borderId="0" xfId="42" applyNumberFormat="1" applyFont="1" applyFill="1" applyAlignment="1">
      <alignment horizontal="center" vertical="center"/>
    </xf>
    <xf numFmtId="43" fontId="41" fillId="0" borderId="10" xfId="42" applyFont="1" applyBorder="1" applyAlignment="1">
      <alignment vertical="top"/>
    </xf>
    <xf numFmtId="164" fontId="45" fillId="51" borderId="0" xfId="42" applyNumberFormat="1" applyFont="1" applyFill="1" applyAlignment="1">
      <alignment horizontal="center" vertical="center"/>
    </xf>
    <xf numFmtId="164" fontId="41" fillId="0" borderId="0" xfId="42" applyNumberFormat="1" applyFont="1" applyAlignment="1">
      <alignment vertical="center"/>
    </xf>
    <xf numFmtId="0" fontId="44" fillId="0" borderId="0" xfId="43" applyFont="1" applyAlignment="1">
      <alignment vertical="center"/>
    </xf>
    <xf numFmtId="0" fontId="43" fillId="0" borderId="0" xfId="43" applyFont="1" applyAlignment="1">
      <alignment horizontal="center" vertical="center"/>
    </xf>
    <xf numFmtId="166" fontId="41" fillId="0" borderId="0" xfId="42" applyNumberFormat="1" applyFont="1" applyAlignment="1">
      <alignment vertical="center"/>
    </xf>
    <xf numFmtId="0" fontId="46" fillId="0" borderId="0" xfId="0" applyFont="1" applyAlignment="1">
      <alignment horizontal="center" vertical="center"/>
    </xf>
    <xf numFmtId="43" fontId="41" fillId="0" borderId="0" xfId="42" applyFont="1" applyBorder="1" applyAlignment="1">
      <alignment vertical="top"/>
    </xf>
    <xf numFmtId="0" fontId="43" fillId="0" borderId="66" xfId="43" applyFont="1" applyBorder="1" applyAlignment="1">
      <alignment horizontal="center" vertical="center"/>
    </xf>
    <xf numFmtId="0" fontId="43" fillId="0" borderId="14" xfId="43" applyFont="1" applyBorder="1" applyAlignment="1">
      <alignment horizontal="center" vertical="center"/>
    </xf>
    <xf numFmtId="166" fontId="43" fillId="0" borderId="67" xfId="42" applyNumberFormat="1" applyFont="1" applyBorder="1" applyAlignment="1">
      <alignment vertical="center"/>
    </xf>
    <xf numFmtId="164" fontId="41" fillId="0" borderId="20" xfId="42" applyNumberFormat="1" applyFont="1" applyBorder="1" applyAlignment="1">
      <alignment vertical="center"/>
    </xf>
    <xf numFmtId="166" fontId="41" fillId="0" borderId="20" xfId="42" applyNumberFormat="1" applyFont="1" applyBorder="1" applyAlignment="1">
      <alignment horizontal="center" vertical="center"/>
    </xf>
    <xf numFmtId="164" fontId="41" fillId="0" borderId="68" xfId="42" applyNumberFormat="1" applyFont="1" applyBorder="1" applyAlignment="1">
      <alignment horizontal="center" vertical="center"/>
    </xf>
    <xf numFmtId="164" fontId="41" fillId="0" borderId="26" xfId="42" applyNumberFormat="1" applyFont="1" applyBorder="1" applyAlignment="1">
      <alignment horizontal="center" vertical="center"/>
    </xf>
    <xf numFmtId="0" fontId="43" fillId="0" borderId="0" xfId="43" applyFont="1" applyAlignment="1">
      <alignment horizontal="center" vertical="center"/>
    </xf>
    <xf numFmtId="164" fontId="41" fillId="0" borderId="0" xfId="42" applyNumberFormat="1" applyFont="1" applyAlignment="1">
      <alignment horizontal="center" vertical="center"/>
    </xf>
    <xf numFmtId="164" fontId="41" fillId="0" borderId="29" xfId="42" applyNumberFormat="1" applyFont="1" applyBorder="1" applyAlignment="1">
      <alignment horizontal="center" vertical="center"/>
    </xf>
    <xf numFmtId="164" fontId="41" fillId="0" borderId="11" xfId="42" applyNumberFormat="1" applyFont="1" applyBorder="1" applyAlignment="1">
      <alignment horizontal="center" vertical="center"/>
    </xf>
    <xf numFmtId="164" fontId="41" fillId="0" borderId="40" xfId="42" applyNumberFormat="1" applyFont="1" applyBorder="1" applyAlignment="1">
      <alignment horizontal="center" vertical="center"/>
    </xf>
    <xf numFmtId="166" fontId="43" fillId="0" borderId="14" xfId="42" applyNumberFormat="1" applyFont="1" applyBorder="1" applyAlignment="1">
      <alignment vertical="center"/>
    </xf>
    <xf numFmtId="166" fontId="41" fillId="0" borderId="20" xfId="42" applyNumberFormat="1" applyFont="1" applyBorder="1" applyAlignment="1">
      <alignment vertical="center"/>
    </xf>
    <xf numFmtId="166" fontId="45" fillId="0" borderId="0" xfId="42" applyNumberFormat="1" applyFont="1" applyAlignment="1">
      <alignment vertical="center"/>
    </xf>
    <xf numFmtId="0" fontId="41" fillId="0" borderId="0" xfId="43" applyFont="1" applyAlignment="1">
      <alignment vertical="center"/>
    </xf>
    <xf numFmtId="0" fontId="45" fillId="0" borderId="0" xfId="43" applyFont="1" applyAlignment="1">
      <alignment vertical="center"/>
    </xf>
    <xf numFmtId="164" fontId="47" fillId="0" borderId="0" xfId="42" applyNumberFormat="1" applyFont="1" applyAlignment="1">
      <alignment horizontal="center" vertical="center"/>
    </xf>
    <xf numFmtId="0" fontId="46" fillId="0" borderId="0" xfId="0" applyFont="1" applyAlignment="1">
      <alignment vertical="center" wrapText="1"/>
    </xf>
    <xf numFmtId="0" fontId="46" fillId="0" borderId="0" xfId="0" applyFont="1" applyAlignment="1">
      <alignment horizontal="center" vertical="center" wrapText="1"/>
    </xf>
    <xf numFmtId="166" fontId="41" fillId="0" borderId="0" xfId="43" applyNumberFormat="1" applyFont="1" applyAlignment="1">
      <alignment horizontal="center" vertical="center"/>
    </xf>
    <xf numFmtId="166" fontId="41" fillId="0" borderId="56" xfId="43" applyNumberFormat="1" applyFont="1" applyBorder="1" applyAlignment="1">
      <alignment horizontal="center" vertical="center"/>
    </xf>
    <xf numFmtId="166" fontId="41" fillId="0" borderId="0" xfId="43" applyNumberFormat="1" applyFont="1" applyAlignment="1">
      <alignment vertical="center"/>
    </xf>
    <xf numFmtId="0" fontId="45" fillId="0" borderId="0" xfId="43" applyFont="1" applyAlignment="1">
      <alignment horizontal="center" vertical="center"/>
    </xf>
    <xf numFmtId="0" fontId="41" fillId="0" borderId="0" xfId="43" applyFont="1" applyAlignment="1">
      <alignment horizontal="center" vertical="top"/>
    </xf>
    <xf numFmtId="164" fontId="41" fillId="34" borderId="0" xfId="42" applyNumberFormat="1" applyFont="1" applyFill="1" applyAlignment="1">
      <alignment vertical="top"/>
    </xf>
    <xf numFmtId="0" fontId="46" fillId="0" borderId="0" xfId="0" applyFont="1" applyAlignment="1">
      <alignment horizontal="justify" vertical="center"/>
    </xf>
    <xf numFmtId="0" fontId="48" fillId="0" borderId="0" xfId="0" applyFont="1" applyAlignment="1">
      <alignment horizontal="center"/>
    </xf>
    <xf numFmtId="0" fontId="48" fillId="0" borderId="0" xfId="0" applyFont="1"/>
    <xf numFmtId="164" fontId="42" fillId="34" borderId="0" xfId="42" applyNumberFormat="1" applyFont="1" applyFill="1"/>
    <xf numFmtId="0" fontId="46" fillId="0" borderId="0" xfId="0" applyFont="1" applyAlignment="1">
      <alignment vertical="center"/>
    </xf>
    <xf numFmtId="0" fontId="42" fillId="0" borderId="0" xfId="43" applyFont="1" applyAlignment="1">
      <alignment horizontal="center"/>
    </xf>
  </cellXfs>
  <cellStyles count="48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Comma 2" xfId="47" xr:uid="{13C1FDA3-0EB7-4F35-9B09-7E982156C8A7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5" xr:uid="{D10DD3EA-DBD0-4C0A-9960-1E9747C67DE5}"/>
    <cellStyle name="Normal 3" xfId="44" xr:uid="{370F1FA0-7D88-499A-8E3A-01091DCB1A63}"/>
    <cellStyle name="Normal 4" xfId="43" xr:uid="{1B44BB33-DB89-4AAC-98F0-170FB28A67CE}"/>
    <cellStyle name="Note" xfId="15" builtinId="10" customBuiltin="1"/>
    <cellStyle name="Note 2" xfId="46" xr:uid="{1520964B-58A8-48EC-ADEF-05963B0E629E}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</xdr:row>
          <xdr:rowOff>228600</xdr:rowOff>
        </xdr:from>
        <xdr:to>
          <xdr:col>10</xdr:col>
          <xdr:colOff>542925</xdr:colOff>
          <xdr:row>13</xdr:row>
          <xdr:rowOff>28575</xdr:rowOff>
        </xdr:to>
        <xdr:sp macro="" textlink="">
          <xdr:nvSpPr>
            <xdr:cNvPr id="11269" name="DateFrom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0</xdr:rowOff>
        </xdr:from>
        <xdr:to>
          <xdr:col>10</xdr:col>
          <xdr:colOff>514350</xdr:colOff>
          <xdr:row>16</xdr:row>
          <xdr:rowOff>9525</xdr:rowOff>
        </xdr:to>
        <xdr:sp macro="" textlink="">
          <xdr:nvSpPr>
            <xdr:cNvPr id="11270" name="DateTo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17</xdr:row>
          <xdr:rowOff>123825</xdr:rowOff>
        </xdr:from>
        <xdr:to>
          <xdr:col>8</xdr:col>
          <xdr:colOff>314325</xdr:colOff>
          <xdr:row>19</xdr:row>
          <xdr:rowOff>177362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80"/>
                  </a:solidFill>
                  <a:latin typeface="Angsana New"/>
                  <a:cs typeface="Angsana New"/>
                </a:rPr>
                <a:t>Run Report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304801</xdr:colOff>
      <xdr:row>5</xdr:row>
      <xdr:rowOff>28575</xdr:rowOff>
    </xdr:from>
    <xdr:to>
      <xdr:col>10</xdr:col>
      <xdr:colOff>771525</xdr:colOff>
      <xdr:row>9</xdr:row>
      <xdr:rowOff>105362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801" y="990600"/>
          <a:ext cx="3619499" cy="83878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17</xdr:row>
          <xdr:rowOff>123825</xdr:rowOff>
        </xdr:from>
        <xdr:to>
          <xdr:col>10</xdr:col>
          <xdr:colOff>838200</xdr:colOff>
          <xdr:row>19</xdr:row>
          <xdr:rowOff>180975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FE19EC2D-7AA8-4A93-A1B3-FE54FA9E99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FF0000"/>
                  </a:solidFill>
                  <a:latin typeface="Angsana New"/>
                  <a:cs typeface="Angsana New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24848</xdr:rowOff>
    </xdr:from>
    <xdr:to>
      <xdr:col>1</xdr:col>
      <xdr:colOff>695977</xdr:colOff>
      <xdr:row>4</xdr:row>
      <xdr:rowOff>8282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5910E91-5BAD-4566-9B44-E36BAD0C9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848"/>
          <a:ext cx="1333738" cy="94421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nan.df/Desktop/Copy%20of%20Tariff_TRANSIT,_IMPORT,_EXPORT_20231206_(SAP)%20Noukou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GRAM-SAP"/>
      <sheetName val="Sheet2"/>
      <sheetName val="FinalGRAM-SAP (2)"/>
      <sheetName val="all"/>
      <sheetName val="Pivottabele"/>
      <sheetName val="All Pre-Alert Type"/>
      <sheetName val="Ref."/>
    </sheetNames>
    <sheetDataSet>
      <sheetData sheetId="0"/>
      <sheetData sheetId="1"/>
      <sheetData sheetId="2">
        <row r="4">
          <cell r="A4">
            <v>7081.01</v>
          </cell>
          <cell r="B4" t="str">
            <v>TRANSIT</v>
          </cell>
        </row>
        <row r="5">
          <cell r="A5">
            <v>7081.01</v>
          </cell>
          <cell r="B5" t="str">
            <v>TRANSIT</v>
          </cell>
        </row>
        <row r="6">
          <cell r="A6">
            <v>7081.01</v>
          </cell>
          <cell r="B6" t="str">
            <v>TRANSIT</v>
          </cell>
        </row>
        <row r="7">
          <cell r="A7">
            <v>7081.01</v>
          </cell>
          <cell r="B7" t="str">
            <v>TRANSIT</v>
          </cell>
        </row>
        <row r="8">
          <cell r="A8">
            <v>7081.01</v>
          </cell>
          <cell r="B8" t="str">
            <v>TRANSIT</v>
          </cell>
        </row>
        <row r="9">
          <cell r="A9">
            <v>7081.01</v>
          </cell>
          <cell r="B9" t="str">
            <v>TRANSIT</v>
          </cell>
        </row>
        <row r="10">
          <cell r="A10">
            <v>7081.01</v>
          </cell>
          <cell r="B10" t="str">
            <v>TRANSIT</v>
          </cell>
        </row>
        <row r="11">
          <cell r="A11">
            <v>7081.01</v>
          </cell>
          <cell r="B11" t="str">
            <v>TRANSIT</v>
          </cell>
        </row>
        <row r="12">
          <cell r="A12">
            <v>7081.01</v>
          </cell>
          <cell r="B12" t="str">
            <v>TRANSIT</v>
          </cell>
        </row>
        <row r="13">
          <cell r="A13">
            <v>7081.01</v>
          </cell>
          <cell r="B13" t="str">
            <v>TRANSIT</v>
          </cell>
        </row>
        <row r="14">
          <cell r="A14">
            <v>7081.01</v>
          </cell>
          <cell r="B14" t="str">
            <v>TRANSIT</v>
          </cell>
        </row>
        <row r="15">
          <cell r="A15">
            <v>7081.01</v>
          </cell>
          <cell r="B15" t="str">
            <v>TRANSIT</v>
          </cell>
        </row>
        <row r="16">
          <cell r="A16">
            <v>7081.01</v>
          </cell>
          <cell r="B16" t="str">
            <v>TRANSIT</v>
          </cell>
        </row>
        <row r="17">
          <cell r="A17">
            <v>7081.01</v>
          </cell>
          <cell r="B17" t="str">
            <v>TRANSIT</v>
          </cell>
        </row>
        <row r="18">
          <cell r="A18">
            <v>7081.01</v>
          </cell>
          <cell r="B18" t="str">
            <v>TRANSIT</v>
          </cell>
        </row>
        <row r="19">
          <cell r="A19">
            <v>7081.01</v>
          </cell>
          <cell r="B19" t="str">
            <v>TRANSIT</v>
          </cell>
        </row>
        <row r="20">
          <cell r="A20">
            <v>7081.01</v>
          </cell>
          <cell r="B20" t="str">
            <v>TRANSIT</v>
          </cell>
        </row>
        <row r="21">
          <cell r="A21">
            <v>7081.01</v>
          </cell>
          <cell r="B21" t="str">
            <v>TRANSIT</v>
          </cell>
        </row>
        <row r="22">
          <cell r="A22">
            <v>7081.02</v>
          </cell>
          <cell r="B22" t="str">
            <v>TRANSIT</v>
          </cell>
        </row>
        <row r="23">
          <cell r="A23">
            <v>7081.02</v>
          </cell>
          <cell r="B23" t="str">
            <v>TRANSIT</v>
          </cell>
        </row>
        <row r="24">
          <cell r="A24">
            <v>7081.02</v>
          </cell>
          <cell r="B24" t="str">
            <v>TRANSIT</v>
          </cell>
        </row>
        <row r="25">
          <cell r="A25">
            <v>7081.02</v>
          </cell>
          <cell r="B25" t="str">
            <v>TRANSIT</v>
          </cell>
        </row>
        <row r="26">
          <cell r="A26">
            <v>7081.02</v>
          </cell>
          <cell r="B26" t="str">
            <v>TRANSIT</v>
          </cell>
        </row>
        <row r="27">
          <cell r="A27">
            <v>7081.02</v>
          </cell>
          <cell r="B27" t="str">
            <v>TRANSIT</v>
          </cell>
        </row>
        <row r="28">
          <cell r="A28">
            <v>7081.02</v>
          </cell>
          <cell r="B28" t="str">
            <v>TRANSIT</v>
          </cell>
        </row>
        <row r="29">
          <cell r="A29">
            <v>7081.02</v>
          </cell>
          <cell r="B29" t="str">
            <v>TRANSIT</v>
          </cell>
        </row>
        <row r="30">
          <cell r="A30">
            <v>7081.02</v>
          </cell>
          <cell r="B30" t="str">
            <v>TRANSIT</v>
          </cell>
        </row>
        <row r="31">
          <cell r="A31">
            <v>7081.02</v>
          </cell>
          <cell r="B31" t="str">
            <v>TRANSIT</v>
          </cell>
        </row>
        <row r="32">
          <cell r="A32">
            <v>7081.02</v>
          </cell>
          <cell r="B32" t="str">
            <v>TRANSIT</v>
          </cell>
        </row>
        <row r="33">
          <cell r="A33">
            <v>7081.02</v>
          </cell>
          <cell r="B33" t="str">
            <v>TRANSIT</v>
          </cell>
        </row>
        <row r="34">
          <cell r="A34">
            <v>7081.02</v>
          </cell>
          <cell r="B34" t="str">
            <v>TRANSIT</v>
          </cell>
        </row>
        <row r="35">
          <cell r="A35">
            <v>7081.02</v>
          </cell>
          <cell r="B35" t="str">
            <v>TRANSIT</v>
          </cell>
        </row>
        <row r="36">
          <cell r="A36">
            <v>7081.02</v>
          </cell>
          <cell r="B36" t="str">
            <v>TRANSIT</v>
          </cell>
        </row>
        <row r="37">
          <cell r="A37">
            <v>7081.03</v>
          </cell>
          <cell r="B37" t="str">
            <v>TRANSIT</v>
          </cell>
        </row>
        <row r="38">
          <cell r="A38">
            <v>7081.03</v>
          </cell>
          <cell r="B38" t="str">
            <v>TRANSIT</v>
          </cell>
        </row>
        <row r="39">
          <cell r="A39">
            <v>7081.03</v>
          </cell>
          <cell r="B39" t="str">
            <v>TRANSIT</v>
          </cell>
        </row>
        <row r="40">
          <cell r="A40">
            <v>7081.03</v>
          </cell>
          <cell r="B40" t="str">
            <v>TRANSIT</v>
          </cell>
        </row>
        <row r="41">
          <cell r="A41">
            <v>7081.03</v>
          </cell>
          <cell r="B41" t="str">
            <v>TRANSIT</v>
          </cell>
        </row>
        <row r="42">
          <cell r="A42">
            <v>7081.03</v>
          </cell>
          <cell r="B42" t="str">
            <v>TRANSIT</v>
          </cell>
        </row>
        <row r="43">
          <cell r="A43">
            <v>7081.03</v>
          </cell>
          <cell r="B43" t="str">
            <v>TRANSIT</v>
          </cell>
        </row>
        <row r="44">
          <cell r="A44">
            <v>7081.03</v>
          </cell>
          <cell r="B44" t="str">
            <v>TRANSIT</v>
          </cell>
        </row>
        <row r="45">
          <cell r="A45">
            <v>7081.03</v>
          </cell>
          <cell r="B45" t="str">
            <v>TRANSIT</v>
          </cell>
        </row>
        <row r="46">
          <cell r="A46">
            <v>7081.03</v>
          </cell>
          <cell r="B46" t="str">
            <v>TRANSIT</v>
          </cell>
        </row>
        <row r="47">
          <cell r="A47">
            <v>7081.03</v>
          </cell>
          <cell r="B47" t="str">
            <v>TRANSIT</v>
          </cell>
        </row>
        <row r="48">
          <cell r="A48">
            <v>7081.03</v>
          </cell>
          <cell r="B48" t="str">
            <v>TRANSIT</v>
          </cell>
        </row>
        <row r="49">
          <cell r="A49">
            <v>7081.03</v>
          </cell>
          <cell r="B49" t="str">
            <v>TRANSIT</v>
          </cell>
        </row>
        <row r="50">
          <cell r="A50">
            <v>7081.03</v>
          </cell>
          <cell r="B50" t="str">
            <v>TRANSIT</v>
          </cell>
        </row>
        <row r="51">
          <cell r="A51">
            <v>7081.03</v>
          </cell>
          <cell r="B51" t="str">
            <v>TRANSIT</v>
          </cell>
        </row>
        <row r="52">
          <cell r="A52">
            <v>7081.04</v>
          </cell>
          <cell r="B52" t="str">
            <v>TRANSIT</v>
          </cell>
        </row>
        <row r="53">
          <cell r="A53">
            <v>7081.04</v>
          </cell>
          <cell r="B53" t="str">
            <v>TRANSIT</v>
          </cell>
        </row>
        <row r="54">
          <cell r="A54">
            <v>7081.04</v>
          </cell>
          <cell r="B54" t="str">
            <v>TRANSIT</v>
          </cell>
        </row>
        <row r="55">
          <cell r="A55">
            <v>7081.04</v>
          </cell>
          <cell r="B55" t="str">
            <v>TRANSIT</v>
          </cell>
        </row>
        <row r="56">
          <cell r="A56">
            <v>7081.04</v>
          </cell>
          <cell r="B56" t="str">
            <v>TRANSIT</v>
          </cell>
        </row>
        <row r="57">
          <cell r="A57">
            <v>7081.04</v>
          </cell>
          <cell r="B57" t="str">
            <v>TRANSIT</v>
          </cell>
        </row>
        <row r="58">
          <cell r="A58">
            <v>7081.04</v>
          </cell>
          <cell r="B58" t="str">
            <v>TRANSIT</v>
          </cell>
        </row>
        <row r="59">
          <cell r="A59">
            <v>7081.04</v>
          </cell>
          <cell r="B59" t="str">
            <v>TRANSIT</v>
          </cell>
        </row>
        <row r="60">
          <cell r="A60">
            <v>7081.04</v>
          </cell>
          <cell r="B60" t="str">
            <v>TRANSIT</v>
          </cell>
        </row>
        <row r="61">
          <cell r="A61">
            <v>7081.04</v>
          </cell>
          <cell r="B61" t="str">
            <v>TRANSIT</v>
          </cell>
        </row>
        <row r="62">
          <cell r="A62">
            <v>7081.04</v>
          </cell>
          <cell r="B62" t="str">
            <v>TRANSIT</v>
          </cell>
        </row>
        <row r="63">
          <cell r="A63">
            <v>7081.04</v>
          </cell>
          <cell r="B63" t="str">
            <v>TRANSIT</v>
          </cell>
        </row>
        <row r="64">
          <cell r="A64">
            <v>7081.04</v>
          </cell>
          <cell r="B64" t="str">
            <v>TRANSIT</v>
          </cell>
        </row>
        <row r="65">
          <cell r="A65">
            <v>7081.04</v>
          </cell>
          <cell r="B65" t="str">
            <v>TRANSIT</v>
          </cell>
        </row>
        <row r="66">
          <cell r="A66">
            <v>7081.04</v>
          </cell>
          <cell r="B66" t="str">
            <v>TRANSIT</v>
          </cell>
        </row>
        <row r="67">
          <cell r="A67">
            <v>7081.04</v>
          </cell>
          <cell r="B67" t="str">
            <v>TRANSIT</v>
          </cell>
        </row>
        <row r="68">
          <cell r="A68">
            <v>7081.04</v>
          </cell>
          <cell r="B68" t="str">
            <v>TRANSIT</v>
          </cell>
        </row>
        <row r="69">
          <cell r="A69">
            <v>7081.04</v>
          </cell>
          <cell r="B69" t="str">
            <v>TRANSIT</v>
          </cell>
        </row>
        <row r="70">
          <cell r="A70">
            <v>7081.05</v>
          </cell>
          <cell r="B70" t="str">
            <v>TRANSIT</v>
          </cell>
        </row>
        <row r="71">
          <cell r="A71">
            <v>7081.05</v>
          </cell>
          <cell r="B71" t="str">
            <v>TRANSIT</v>
          </cell>
        </row>
        <row r="72">
          <cell r="A72">
            <v>7081.05</v>
          </cell>
          <cell r="B72" t="str">
            <v>TRANSIT</v>
          </cell>
        </row>
        <row r="73">
          <cell r="A73">
            <v>7081.05</v>
          </cell>
          <cell r="B73" t="str">
            <v>TRANSIT</v>
          </cell>
        </row>
        <row r="74">
          <cell r="A74">
            <v>7081.05</v>
          </cell>
          <cell r="B74" t="str">
            <v>TRANSIT</v>
          </cell>
        </row>
        <row r="75">
          <cell r="A75">
            <v>7081.05</v>
          </cell>
          <cell r="B75" t="str">
            <v>TRANSIT</v>
          </cell>
        </row>
        <row r="76">
          <cell r="A76">
            <v>7081.05</v>
          </cell>
          <cell r="B76" t="str">
            <v>TRANSIT</v>
          </cell>
        </row>
        <row r="77">
          <cell r="A77">
            <v>7081.05</v>
          </cell>
          <cell r="B77" t="str">
            <v>TRANSIT</v>
          </cell>
        </row>
        <row r="78">
          <cell r="A78">
            <v>7081.05</v>
          </cell>
          <cell r="B78" t="str">
            <v>TRANSIT</v>
          </cell>
        </row>
        <row r="79">
          <cell r="A79">
            <v>7081.05</v>
          </cell>
          <cell r="B79" t="str">
            <v>TRANSIT</v>
          </cell>
        </row>
        <row r="80">
          <cell r="A80">
            <v>7081.05</v>
          </cell>
          <cell r="B80" t="str">
            <v>TRANSIT</v>
          </cell>
        </row>
        <row r="81">
          <cell r="A81">
            <v>7081.05</v>
          </cell>
          <cell r="B81" t="str">
            <v>TRANSIT</v>
          </cell>
        </row>
        <row r="82">
          <cell r="A82">
            <v>7081.05</v>
          </cell>
          <cell r="B82" t="str">
            <v>TRANSIT</v>
          </cell>
        </row>
        <row r="83">
          <cell r="A83">
            <v>7081.05</v>
          </cell>
          <cell r="B83" t="str">
            <v>TRANSIT</v>
          </cell>
        </row>
        <row r="84">
          <cell r="A84">
            <v>7081.05</v>
          </cell>
          <cell r="B84" t="str">
            <v>TRANSIT</v>
          </cell>
        </row>
        <row r="85">
          <cell r="A85">
            <v>7081.05</v>
          </cell>
          <cell r="B85" t="str">
            <v>TRANSIT</v>
          </cell>
        </row>
        <row r="86">
          <cell r="A86">
            <v>7081.05</v>
          </cell>
          <cell r="B86" t="str">
            <v>TRANSIT</v>
          </cell>
        </row>
        <row r="87">
          <cell r="A87">
            <v>7081.05</v>
          </cell>
          <cell r="B87" t="str">
            <v>TRANSIT</v>
          </cell>
        </row>
        <row r="88">
          <cell r="A88">
            <v>7081.05</v>
          </cell>
          <cell r="B88" t="str">
            <v>TRANSIT</v>
          </cell>
        </row>
        <row r="89">
          <cell r="A89">
            <v>7081.05</v>
          </cell>
          <cell r="B89" t="str">
            <v>TRANSIT</v>
          </cell>
        </row>
        <row r="90">
          <cell r="A90">
            <v>7081.05</v>
          </cell>
          <cell r="B90" t="str">
            <v>TRANSIT</v>
          </cell>
        </row>
        <row r="91">
          <cell r="A91">
            <v>7081.06</v>
          </cell>
          <cell r="B91" t="str">
            <v>TRANSIT</v>
          </cell>
        </row>
        <row r="92">
          <cell r="A92">
            <v>7081.06</v>
          </cell>
          <cell r="B92" t="str">
            <v>TRANSIT</v>
          </cell>
        </row>
        <row r="93">
          <cell r="A93">
            <v>7081.06</v>
          </cell>
          <cell r="B93" t="str">
            <v>TRANSIT</v>
          </cell>
        </row>
        <row r="94">
          <cell r="A94">
            <v>7081.06</v>
          </cell>
          <cell r="B94" t="str">
            <v>TRANSIT</v>
          </cell>
        </row>
        <row r="95">
          <cell r="A95">
            <v>7081.06</v>
          </cell>
          <cell r="B95" t="str">
            <v>TRANSIT</v>
          </cell>
        </row>
        <row r="96">
          <cell r="A96">
            <v>7081.06</v>
          </cell>
          <cell r="B96" t="str">
            <v>TRANSIT</v>
          </cell>
        </row>
        <row r="97">
          <cell r="A97">
            <v>7081.06</v>
          </cell>
          <cell r="B97" t="str">
            <v>TRANSIT</v>
          </cell>
        </row>
        <row r="98">
          <cell r="A98">
            <v>7081.06</v>
          </cell>
          <cell r="B98" t="str">
            <v>TRANSIT</v>
          </cell>
        </row>
        <row r="99">
          <cell r="A99">
            <v>7081.06</v>
          </cell>
          <cell r="B99" t="str">
            <v>TRANSIT</v>
          </cell>
        </row>
        <row r="100">
          <cell r="A100">
            <v>7081.06</v>
          </cell>
          <cell r="B100" t="str">
            <v>TRANSIT</v>
          </cell>
        </row>
        <row r="101">
          <cell r="A101">
            <v>7081.06</v>
          </cell>
          <cell r="B101" t="str">
            <v>TRANSIT</v>
          </cell>
        </row>
        <row r="102">
          <cell r="A102">
            <v>7081.06</v>
          </cell>
          <cell r="B102" t="str">
            <v>TRANSIT</v>
          </cell>
        </row>
        <row r="103">
          <cell r="A103">
            <v>7081.06</v>
          </cell>
          <cell r="B103" t="str">
            <v>TRANSIT</v>
          </cell>
        </row>
        <row r="104">
          <cell r="A104">
            <v>7081.06</v>
          </cell>
          <cell r="B104" t="str">
            <v>TRANSIT</v>
          </cell>
        </row>
        <row r="105">
          <cell r="A105">
            <v>7081.06</v>
          </cell>
          <cell r="B105" t="str">
            <v>TRANSIT</v>
          </cell>
        </row>
        <row r="106">
          <cell r="A106">
            <v>7081.06</v>
          </cell>
          <cell r="B106" t="str">
            <v>TRANSIT</v>
          </cell>
        </row>
        <row r="107">
          <cell r="A107">
            <v>7081.06</v>
          </cell>
          <cell r="B107" t="str">
            <v>TRANSIT</v>
          </cell>
        </row>
        <row r="108">
          <cell r="A108">
            <v>7081.07</v>
          </cell>
          <cell r="B108" t="str">
            <v>TRANSIT</v>
          </cell>
        </row>
        <row r="109">
          <cell r="A109">
            <v>7081.07</v>
          </cell>
          <cell r="B109" t="str">
            <v>TRANSIT</v>
          </cell>
        </row>
        <row r="110">
          <cell r="A110">
            <v>7081.07</v>
          </cell>
          <cell r="B110" t="str">
            <v>TRANSIT</v>
          </cell>
        </row>
        <row r="111">
          <cell r="A111">
            <v>7081.07</v>
          </cell>
          <cell r="B111" t="str">
            <v>TRANSIT</v>
          </cell>
        </row>
        <row r="112">
          <cell r="A112">
            <v>7081.07</v>
          </cell>
          <cell r="B112" t="str">
            <v>TRANSIT</v>
          </cell>
        </row>
        <row r="113">
          <cell r="A113">
            <v>7081.07</v>
          </cell>
          <cell r="B113" t="str">
            <v>TRANSIT</v>
          </cell>
        </row>
        <row r="114">
          <cell r="A114">
            <v>7081.07</v>
          </cell>
          <cell r="B114" t="str">
            <v>TRANSIT</v>
          </cell>
        </row>
        <row r="115">
          <cell r="A115">
            <v>7081.07</v>
          </cell>
          <cell r="B115" t="str">
            <v>TRANSIT</v>
          </cell>
        </row>
        <row r="116">
          <cell r="A116">
            <v>7081.07</v>
          </cell>
          <cell r="B116" t="str">
            <v>TRANSIT</v>
          </cell>
        </row>
        <row r="117">
          <cell r="A117">
            <v>7081.07</v>
          </cell>
          <cell r="B117" t="str">
            <v>TRANSIT</v>
          </cell>
        </row>
        <row r="118">
          <cell r="A118">
            <v>7081.07</v>
          </cell>
          <cell r="B118" t="str">
            <v>TRANSIT</v>
          </cell>
        </row>
        <row r="119">
          <cell r="A119">
            <v>7081.07</v>
          </cell>
          <cell r="B119" t="str">
            <v>TRANSIT</v>
          </cell>
        </row>
        <row r="120">
          <cell r="A120">
            <v>7082.01</v>
          </cell>
          <cell r="B120" t="str">
            <v>IMPORT</v>
          </cell>
        </row>
        <row r="121">
          <cell r="A121">
            <v>7082.01</v>
          </cell>
          <cell r="B121" t="str">
            <v>IMPORT</v>
          </cell>
        </row>
        <row r="122">
          <cell r="A122">
            <v>7082.01</v>
          </cell>
          <cell r="B122" t="str">
            <v>IMPORT</v>
          </cell>
        </row>
        <row r="123">
          <cell r="A123">
            <v>7082.01</v>
          </cell>
          <cell r="B123" t="str">
            <v>IMPORT</v>
          </cell>
        </row>
        <row r="124">
          <cell r="A124">
            <v>7082.01</v>
          </cell>
          <cell r="B124" t="str">
            <v>IMPORT</v>
          </cell>
        </row>
        <row r="125">
          <cell r="A125">
            <v>7082.01</v>
          </cell>
          <cell r="B125" t="str">
            <v>IMPORT</v>
          </cell>
        </row>
        <row r="126">
          <cell r="A126">
            <v>7082.01</v>
          </cell>
          <cell r="B126" t="str">
            <v>IMPORT</v>
          </cell>
        </row>
        <row r="127">
          <cell r="A127">
            <v>7082.01</v>
          </cell>
          <cell r="B127" t="str">
            <v>IMPORT</v>
          </cell>
        </row>
        <row r="128">
          <cell r="A128">
            <v>7082.01</v>
          </cell>
          <cell r="B128" t="str">
            <v>IMPORT</v>
          </cell>
        </row>
        <row r="129">
          <cell r="A129">
            <v>7082.01</v>
          </cell>
          <cell r="B129" t="str">
            <v>IMPORT</v>
          </cell>
        </row>
        <row r="130">
          <cell r="A130">
            <v>7082.01</v>
          </cell>
          <cell r="B130" t="str">
            <v>IMPORT</v>
          </cell>
        </row>
        <row r="131">
          <cell r="A131">
            <v>7082.01</v>
          </cell>
          <cell r="B131" t="str">
            <v>IMPORT</v>
          </cell>
        </row>
        <row r="132">
          <cell r="A132">
            <v>7082.02</v>
          </cell>
          <cell r="B132" t="str">
            <v>IMPORT</v>
          </cell>
        </row>
        <row r="133">
          <cell r="A133">
            <v>7082.02</v>
          </cell>
          <cell r="B133" t="str">
            <v>IMPORT</v>
          </cell>
        </row>
        <row r="134">
          <cell r="A134">
            <v>7082.02</v>
          </cell>
          <cell r="B134" t="str">
            <v>IMPORT</v>
          </cell>
        </row>
        <row r="135">
          <cell r="A135">
            <v>7082.02</v>
          </cell>
          <cell r="B135" t="str">
            <v>IMPORT</v>
          </cell>
        </row>
        <row r="136">
          <cell r="A136">
            <v>7082.02</v>
          </cell>
          <cell r="B136" t="str">
            <v>IMPORT</v>
          </cell>
        </row>
        <row r="137">
          <cell r="A137">
            <v>7082.02</v>
          </cell>
          <cell r="B137" t="str">
            <v>IMPORT</v>
          </cell>
        </row>
        <row r="138">
          <cell r="A138">
            <v>7082.03</v>
          </cell>
          <cell r="B138" t="str">
            <v>IMPORT</v>
          </cell>
        </row>
        <row r="139">
          <cell r="A139">
            <v>7082.03</v>
          </cell>
          <cell r="B139" t="str">
            <v>IMPORT</v>
          </cell>
        </row>
        <row r="140">
          <cell r="A140">
            <v>7082.04</v>
          </cell>
          <cell r="B140" t="str">
            <v>IMPORT</v>
          </cell>
        </row>
        <row r="141">
          <cell r="A141">
            <v>7082.04</v>
          </cell>
          <cell r="B141" t="str">
            <v>IMPORT</v>
          </cell>
        </row>
        <row r="142">
          <cell r="A142">
            <v>7082.04</v>
          </cell>
          <cell r="B142" t="str">
            <v>IMPORT</v>
          </cell>
        </row>
        <row r="143">
          <cell r="A143">
            <v>7082.05</v>
          </cell>
          <cell r="B143" t="str">
            <v>IMPORT</v>
          </cell>
        </row>
        <row r="144">
          <cell r="A144">
            <v>7082.05</v>
          </cell>
          <cell r="B144" t="str">
            <v>IMPORT</v>
          </cell>
        </row>
        <row r="145">
          <cell r="A145">
            <v>7082.05</v>
          </cell>
          <cell r="B145" t="str">
            <v>IMPORT</v>
          </cell>
        </row>
        <row r="146">
          <cell r="A146">
            <v>7082.05</v>
          </cell>
          <cell r="B146" t="str">
            <v>IMPORT</v>
          </cell>
        </row>
        <row r="147">
          <cell r="A147">
            <v>7082.05</v>
          </cell>
          <cell r="B147" t="str">
            <v>IMPORT</v>
          </cell>
        </row>
        <row r="148">
          <cell r="A148">
            <v>7082.05</v>
          </cell>
          <cell r="B148" t="str">
            <v>IMPORT</v>
          </cell>
        </row>
        <row r="149">
          <cell r="A149">
            <v>7082.05</v>
          </cell>
          <cell r="B149" t="str">
            <v>IMPORT</v>
          </cell>
        </row>
        <row r="150">
          <cell r="A150">
            <v>7082.05</v>
          </cell>
          <cell r="B150" t="str">
            <v>IMPORT</v>
          </cell>
        </row>
        <row r="151">
          <cell r="A151">
            <v>7082.05</v>
          </cell>
          <cell r="B151" t="str">
            <v>IMPORT</v>
          </cell>
        </row>
        <row r="152">
          <cell r="A152">
            <v>7082.06</v>
          </cell>
          <cell r="B152" t="str">
            <v>IMPORT</v>
          </cell>
        </row>
        <row r="153">
          <cell r="A153">
            <v>7082.06</v>
          </cell>
          <cell r="B153" t="str">
            <v>IMPORT</v>
          </cell>
        </row>
        <row r="154">
          <cell r="A154">
            <v>7082.06</v>
          </cell>
          <cell r="B154" t="str">
            <v>IMPORT</v>
          </cell>
        </row>
        <row r="155">
          <cell r="A155">
            <v>7082.06</v>
          </cell>
          <cell r="B155" t="str">
            <v>IMPORT</v>
          </cell>
        </row>
        <row r="156">
          <cell r="A156">
            <v>7082.07</v>
          </cell>
          <cell r="B156" t="str">
            <v>IMPORT</v>
          </cell>
        </row>
        <row r="157">
          <cell r="A157">
            <v>7082.07</v>
          </cell>
          <cell r="B157" t="str">
            <v>IMPORT</v>
          </cell>
        </row>
        <row r="158">
          <cell r="A158">
            <v>7082.07</v>
          </cell>
          <cell r="B158" t="str">
            <v>IMPORT</v>
          </cell>
        </row>
        <row r="159">
          <cell r="A159">
            <v>7082.07</v>
          </cell>
          <cell r="B159" t="str">
            <v>IMPORT</v>
          </cell>
        </row>
        <row r="160">
          <cell r="A160">
            <v>7082.07</v>
          </cell>
          <cell r="B160" t="str">
            <v>IMPORT</v>
          </cell>
        </row>
        <row r="161">
          <cell r="A161">
            <v>7082.07</v>
          </cell>
          <cell r="B161" t="str">
            <v>IMPORT</v>
          </cell>
        </row>
        <row r="162">
          <cell r="A162">
            <v>7082.07</v>
          </cell>
          <cell r="B162" t="str">
            <v>IMPORT</v>
          </cell>
        </row>
        <row r="163">
          <cell r="A163">
            <v>7082.07</v>
          </cell>
          <cell r="B163" t="str">
            <v>IMPORT</v>
          </cell>
        </row>
        <row r="164">
          <cell r="A164">
            <v>7082.07</v>
          </cell>
          <cell r="B164" t="str">
            <v>IMPORT</v>
          </cell>
        </row>
        <row r="165">
          <cell r="A165">
            <v>7082.07</v>
          </cell>
          <cell r="B165" t="str">
            <v>IMPORT</v>
          </cell>
        </row>
        <row r="166">
          <cell r="A166">
            <v>7082.07</v>
          </cell>
          <cell r="B166" t="str">
            <v>IMPORT</v>
          </cell>
        </row>
        <row r="167">
          <cell r="A167">
            <v>7082.07</v>
          </cell>
          <cell r="B167" t="str">
            <v>IMPORT</v>
          </cell>
        </row>
        <row r="168">
          <cell r="A168">
            <v>7082.07</v>
          </cell>
          <cell r="B168" t="str">
            <v>IMPORT</v>
          </cell>
        </row>
        <row r="169">
          <cell r="A169">
            <v>7082.07</v>
          </cell>
          <cell r="B169" t="str">
            <v>IMPORT</v>
          </cell>
        </row>
        <row r="170">
          <cell r="A170">
            <v>7082.07</v>
          </cell>
          <cell r="B170" t="str">
            <v>IMPORT</v>
          </cell>
        </row>
        <row r="171">
          <cell r="A171">
            <v>7082.08</v>
          </cell>
          <cell r="B171" t="str">
            <v>IMPORT</v>
          </cell>
        </row>
        <row r="172">
          <cell r="A172">
            <v>7082.08</v>
          </cell>
          <cell r="B172" t="str">
            <v>IMPORT</v>
          </cell>
        </row>
        <row r="173">
          <cell r="A173">
            <v>7082.08</v>
          </cell>
          <cell r="B173" t="str">
            <v>IMPORT</v>
          </cell>
        </row>
        <row r="174">
          <cell r="A174">
            <v>7082.08</v>
          </cell>
          <cell r="B174" t="str">
            <v>IMPORT</v>
          </cell>
        </row>
        <row r="175">
          <cell r="A175">
            <v>7082.08</v>
          </cell>
          <cell r="B175" t="str">
            <v>IMPORT</v>
          </cell>
        </row>
        <row r="176">
          <cell r="A176">
            <v>7082.08</v>
          </cell>
          <cell r="B176" t="str">
            <v>IMPORT</v>
          </cell>
        </row>
        <row r="177">
          <cell r="A177">
            <v>7082.08</v>
          </cell>
          <cell r="B177" t="str">
            <v>IMPORT</v>
          </cell>
        </row>
        <row r="178">
          <cell r="A178">
            <v>7082.08</v>
          </cell>
          <cell r="B178" t="str">
            <v>IMPORT</v>
          </cell>
        </row>
        <row r="179">
          <cell r="A179">
            <v>7082.08</v>
          </cell>
          <cell r="B179" t="str">
            <v>IMPORT</v>
          </cell>
        </row>
        <row r="180">
          <cell r="A180">
            <v>7082.08</v>
          </cell>
          <cell r="B180" t="str">
            <v>IMPORT</v>
          </cell>
        </row>
        <row r="181">
          <cell r="A181">
            <v>7082.09</v>
          </cell>
          <cell r="B181" t="str">
            <v>IMPORT</v>
          </cell>
        </row>
        <row r="182">
          <cell r="A182">
            <v>7082.09</v>
          </cell>
          <cell r="B182" t="str">
            <v>IMPORT</v>
          </cell>
        </row>
        <row r="183">
          <cell r="A183">
            <v>7082.09</v>
          </cell>
          <cell r="B183" t="str">
            <v>IMPORT</v>
          </cell>
        </row>
        <row r="184">
          <cell r="A184">
            <v>7082.09</v>
          </cell>
          <cell r="B184" t="str">
            <v>IMPORT</v>
          </cell>
        </row>
        <row r="185">
          <cell r="A185">
            <v>7082.09</v>
          </cell>
          <cell r="B185" t="str">
            <v>IMPORT</v>
          </cell>
        </row>
        <row r="186">
          <cell r="A186">
            <v>7082.09</v>
          </cell>
          <cell r="B186" t="str">
            <v>IMPORT</v>
          </cell>
        </row>
        <row r="187">
          <cell r="A187">
            <v>7082.09</v>
          </cell>
          <cell r="B187" t="str">
            <v>IMPORT</v>
          </cell>
        </row>
        <row r="188">
          <cell r="A188">
            <v>7082.09</v>
          </cell>
          <cell r="B188" t="str">
            <v>IMPORT</v>
          </cell>
        </row>
        <row r="189">
          <cell r="A189">
            <v>7082.09</v>
          </cell>
          <cell r="B189" t="str">
            <v>IMPORT</v>
          </cell>
        </row>
        <row r="190">
          <cell r="A190">
            <v>7082.09</v>
          </cell>
          <cell r="B190" t="str">
            <v>IMPORT</v>
          </cell>
        </row>
        <row r="191">
          <cell r="A191">
            <v>7082.09</v>
          </cell>
          <cell r="B191" t="str">
            <v>IMPORT</v>
          </cell>
        </row>
        <row r="192">
          <cell r="A192">
            <v>7082.09</v>
          </cell>
          <cell r="B192" t="str">
            <v>IMPORT</v>
          </cell>
        </row>
        <row r="193">
          <cell r="A193">
            <v>7082.09</v>
          </cell>
          <cell r="B193" t="str">
            <v>IMPORT</v>
          </cell>
        </row>
        <row r="194">
          <cell r="A194">
            <v>7082.09</v>
          </cell>
          <cell r="B194" t="str">
            <v>IMPORT</v>
          </cell>
        </row>
        <row r="195">
          <cell r="A195">
            <v>7082.09</v>
          </cell>
          <cell r="B195" t="str">
            <v>IMPORT</v>
          </cell>
        </row>
        <row r="196">
          <cell r="A196">
            <v>7082.1</v>
          </cell>
          <cell r="B196" t="str">
            <v>IMPORT</v>
          </cell>
        </row>
        <row r="197">
          <cell r="A197">
            <v>7082.1</v>
          </cell>
          <cell r="B197" t="str">
            <v>IMPORT</v>
          </cell>
        </row>
        <row r="198">
          <cell r="A198">
            <v>7082.1</v>
          </cell>
          <cell r="B198" t="str">
            <v>IMPORT</v>
          </cell>
        </row>
        <row r="199">
          <cell r="A199">
            <v>7082.1</v>
          </cell>
          <cell r="B199" t="str">
            <v>IMPORT</v>
          </cell>
        </row>
        <row r="200">
          <cell r="A200">
            <v>7082.1</v>
          </cell>
          <cell r="B200" t="str">
            <v>IMPORT</v>
          </cell>
        </row>
        <row r="201">
          <cell r="A201">
            <v>7082.1</v>
          </cell>
          <cell r="B201" t="str">
            <v>IMPORT</v>
          </cell>
        </row>
        <row r="202">
          <cell r="A202">
            <v>7082.1</v>
          </cell>
          <cell r="B202" t="str">
            <v>IMPORT</v>
          </cell>
        </row>
        <row r="203">
          <cell r="A203">
            <v>7082.1</v>
          </cell>
          <cell r="B203" t="str">
            <v>IMPORT</v>
          </cell>
        </row>
        <row r="204">
          <cell r="A204">
            <v>7082.1</v>
          </cell>
          <cell r="B204" t="str">
            <v>IMPORT</v>
          </cell>
        </row>
        <row r="205">
          <cell r="A205">
            <v>7082.1</v>
          </cell>
          <cell r="B205" t="str">
            <v>IMPORT</v>
          </cell>
        </row>
        <row r="206">
          <cell r="A206">
            <v>7082.1</v>
          </cell>
          <cell r="B206" t="str">
            <v>IMPORT</v>
          </cell>
        </row>
        <row r="207">
          <cell r="A207">
            <v>7082.1</v>
          </cell>
          <cell r="B207" t="str">
            <v>IMPORT</v>
          </cell>
        </row>
        <row r="208">
          <cell r="A208">
            <v>7082.1</v>
          </cell>
          <cell r="B208" t="str">
            <v>IMPORT</v>
          </cell>
        </row>
        <row r="209">
          <cell r="A209">
            <v>7082.1</v>
          </cell>
          <cell r="B209" t="str">
            <v>IMPORT</v>
          </cell>
        </row>
        <row r="210">
          <cell r="A210">
            <v>7082.1</v>
          </cell>
          <cell r="B210" t="str">
            <v>IMPORT</v>
          </cell>
        </row>
        <row r="211">
          <cell r="A211">
            <v>7082.1</v>
          </cell>
          <cell r="B211" t="str">
            <v>IMPORT</v>
          </cell>
        </row>
        <row r="212">
          <cell r="A212">
            <v>7082.1</v>
          </cell>
          <cell r="B212" t="str">
            <v>IMPORT</v>
          </cell>
        </row>
        <row r="213">
          <cell r="A213">
            <v>7082.1</v>
          </cell>
          <cell r="B213" t="str">
            <v>IMPORT</v>
          </cell>
        </row>
        <row r="214">
          <cell r="A214">
            <v>7082.11</v>
          </cell>
          <cell r="B214" t="str">
            <v>IMPORT</v>
          </cell>
        </row>
        <row r="215">
          <cell r="A215">
            <v>7082.11</v>
          </cell>
          <cell r="B215" t="str">
            <v>IMPORT</v>
          </cell>
        </row>
        <row r="216">
          <cell r="A216">
            <v>7082.11</v>
          </cell>
          <cell r="B216" t="str">
            <v>IMPORT</v>
          </cell>
        </row>
        <row r="217">
          <cell r="A217">
            <v>7082.11</v>
          </cell>
          <cell r="B217" t="str">
            <v>IMPORT</v>
          </cell>
        </row>
        <row r="218">
          <cell r="A218">
            <v>7082.11</v>
          </cell>
          <cell r="B218" t="str">
            <v>IMPORT</v>
          </cell>
        </row>
        <row r="219">
          <cell r="A219">
            <v>7082.11</v>
          </cell>
          <cell r="B219" t="str">
            <v>IMPORT</v>
          </cell>
        </row>
        <row r="220">
          <cell r="A220">
            <v>7082.11</v>
          </cell>
          <cell r="B220" t="str">
            <v>IMPORT</v>
          </cell>
        </row>
        <row r="221">
          <cell r="A221">
            <v>7082.11</v>
          </cell>
          <cell r="B221" t="str">
            <v>IMPORT</v>
          </cell>
        </row>
        <row r="222">
          <cell r="A222">
            <v>7082.11</v>
          </cell>
          <cell r="B222" t="str">
            <v>IMPORT</v>
          </cell>
        </row>
        <row r="223">
          <cell r="A223">
            <v>7082.11</v>
          </cell>
          <cell r="B223" t="str">
            <v>IMPORT</v>
          </cell>
        </row>
        <row r="224">
          <cell r="A224">
            <v>7082.11</v>
          </cell>
          <cell r="B224" t="str">
            <v>IMPORT</v>
          </cell>
        </row>
        <row r="225">
          <cell r="A225">
            <v>7082.11</v>
          </cell>
          <cell r="B225" t="str">
            <v>IMPORT</v>
          </cell>
        </row>
        <row r="226">
          <cell r="A226">
            <v>7082.11</v>
          </cell>
          <cell r="B226" t="str">
            <v>IMPORT</v>
          </cell>
        </row>
        <row r="227">
          <cell r="A227">
            <v>7082.11</v>
          </cell>
          <cell r="B227" t="str">
            <v>IMPORT</v>
          </cell>
        </row>
        <row r="228">
          <cell r="A228">
            <v>7082.11</v>
          </cell>
          <cell r="B228" t="str">
            <v>IMPORT</v>
          </cell>
        </row>
        <row r="229">
          <cell r="A229">
            <v>7082.11</v>
          </cell>
          <cell r="B229" t="str">
            <v>IMPORT</v>
          </cell>
        </row>
        <row r="230">
          <cell r="A230">
            <v>7082.11</v>
          </cell>
          <cell r="B230" t="str">
            <v>IMPORT</v>
          </cell>
        </row>
        <row r="231">
          <cell r="A231">
            <v>7082.11</v>
          </cell>
          <cell r="B231" t="str">
            <v>IMPORT</v>
          </cell>
        </row>
        <row r="232">
          <cell r="A232">
            <v>7082.11</v>
          </cell>
          <cell r="B232" t="str">
            <v>IMPORT</v>
          </cell>
        </row>
        <row r="233">
          <cell r="A233">
            <v>7082.11</v>
          </cell>
          <cell r="B233" t="str">
            <v>IMPORT</v>
          </cell>
        </row>
        <row r="234">
          <cell r="A234">
            <v>7082.11</v>
          </cell>
          <cell r="B234" t="str">
            <v>IMPORT</v>
          </cell>
        </row>
        <row r="235">
          <cell r="A235">
            <v>7082.12</v>
          </cell>
          <cell r="B235" t="str">
            <v>IMPORT</v>
          </cell>
        </row>
        <row r="236">
          <cell r="A236">
            <v>7082.12</v>
          </cell>
          <cell r="B236" t="str">
            <v>IMPORT</v>
          </cell>
        </row>
        <row r="237">
          <cell r="A237">
            <v>7082.12</v>
          </cell>
          <cell r="B237" t="str">
            <v>IMPORT</v>
          </cell>
        </row>
        <row r="238">
          <cell r="A238">
            <v>7082.12</v>
          </cell>
          <cell r="B238" t="str">
            <v>IMPORT</v>
          </cell>
        </row>
        <row r="239">
          <cell r="A239">
            <v>7082.12</v>
          </cell>
          <cell r="B239" t="str">
            <v>IMPORT</v>
          </cell>
        </row>
        <row r="240">
          <cell r="A240">
            <v>7082.12</v>
          </cell>
          <cell r="B240" t="str">
            <v>IMPORT</v>
          </cell>
        </row>
        <row r="241">
          <cell r="A241">
            <v>7082.12</v>
          </cell>
          <cell r="B241" t="str">
            <v>IMPORT</v>
          </cell>
        </row>
        <row r="242">
          <cell r="A242">
            <v>7082.12</v>
          </cell>
          <cell r="B242" t="str">
            <v>IMPORT</v>
          </cell>
        </row>
        <row r="243">
          <cell r="A243">
            <v>7082.12</v>
          </cell>
          <cell r="B243" t="str">
            <v>IMPORT</v>
          </cell>
        </row>
        <row r="244">
          <cell r="A244">
            <v>7082.12</v>
          </cell>
          <cell r="B244" t="str">
            <v>IMPORT</v>
          </cell>
        </row>
        <row r="245">
          <cell r="A245">
            <v>7082.13</v>
          </cell>
          <cell r="B245" t="str">
            <v>IMPORT</v>
          </cell>
        </row>
        <row r="246">
          <cell r="A246">
            <v>7082.13</v>
          </cell>
          <cell r="B246" t="str">
            <v>IMPORT</v>
          </cell>
        </row>
        <row r="247">
          <cell r="A247">
            <v>7082.13</v>
          </cell>
          <cell r="B247" t="str">
            <v>IMPORT</v>
          </cell>
        </row>
        <row r="248">
          <cell r="A248">
            <v>7082.13</v>
          </cell>
          <cell r="B248" t="str">
            <v>IMPORT</v>
          </cell>
        </row>
        <row r="249">
          <cell r="A249">
            <v>7082.13</v>
          </cell>
          <cell r="B249" t="str">
            <v>IMPORT</v>
          </cell>
        </row>
        <row r="250">
          <cell r="A250">
            <v>7082.13</v>
          </cell>
          <cell r="B250" t="str">
            <v>IMPORT</v>
          </cell>
        </row>
        <row r="251">
          <cell r="A251">
            <v>7082.13</v>
          </cell>
          <cell r="B251" t="str">
            <v>IMPORT</v>
          </cell>
        </row>
        <row r="252">
          <cell r="A252">
            <v>7082.13</v>
          </cell>
          <cell r="B252" t="str">
            <v>IMPORT</v>
          </cell>
        </row>
        <row r="253">
          <cell r="A253">
            <v>7082.13</v>
          </cell>
          <cell r="B253" t="str">
            <v>IMPORT</v>
          </cell>
        </row>
        <row r="254">
          <cell r="A254">
            <v>7082.14</v>
          </cell>
          <cell r="B254" t="str">
            <v>IMPORT</v>
          </cell>
        </row>
        <row r="255">
          <cell r="A255">
            <v>7082.14</v>
          </cell>
          <cell r="B255" t="str">
            <v>IMPORT</v>
          </cell>
        </row>
        <row r="256">
          <cell r="A256">
            <v>7082.14</v>
          </cell>
          <cell r="B256" t="str">
            <v>IMPORT</v>
          </cell>
        </row>
        <row r="257">
          <cell r="A257">
            <v>7082.14</v>
          </cell>
          <cell r="B257" t="str">
            <v>IMPORT</v>
          </cell>
        </row>
        <row r="258">
          <cell r="A258">
            <v>7082.14</v>
          </cell>
          <cell r="B258" t="str">
            <v>IMPORT</v>
          </cell>
        </row>
        <row r="259">
          <cell r="A259">
            <v>7082.14</v>
          </cell>
          <cell r="B259" t="str">
            <v>IMPORT</v>
          </cell>
        </row>
        <row r="260">
          <cell r="A260">
            <v>7082.14</v>
          </cell>
          <cell r="B260" t="str">
            <v>IMPORT</v>
          </cell>
        </row>
        <row r="261">
          <cell r="A261">
            <v>7082.14</v>
          </cell>
          <cell r="B261" t="str">
            <v>IMPORT</v>
          </cell>
        </row>
        <row r="262">
          <cell r="A262">
            <v>7082.14</v>
          </cell>
          <cell r="B262" t="str">
            <v>IMPORT</v>
          </cell>
        </row>
        <row r="263">
          <cell r="A263">
            <v>7082.14</v>
          </cell>
          <cell r="B263" t="str">
            <v>IMPORT</v>
          </cell>
        </row>
        <row r="264">
          <cell r="A264">
            <v>7082.14</v>
          </cell>
          <cell r="B264" t="str">
            <v>IMPORT</v>
          </cell>
        </row>
        <row r="265">
          <cell r="A265">
            <v>7082.14</v>
          </cell>
          <cell r="B265" t="str">
            <v>IMPORT</v>
          </cell>
        </row>
        <row r="266">
          <cell r="A266">
            <v>7082.14</v>
          </cell>
          <cell r="B266" t="str">
            <v>IMPORT</v>
          </cell>
        </row>
        <row r="267">
          <cell r="A267">
            <v>7082.14</v>
          </cell>
          <cell r="B267" t="str">
            <v>IMPORT</v>
          </cell>
        </row>
        <row r="268">
          <cell r="A268">
            <v>7082.14</v>
          </cell>
          <cell r="B268" t="str">
            <v>IMPORT</v>
          </cell>
        </row>
        <row r="269">
          <cell r="A269">
            <v>7082.14</v>
          </cell>
          <cell r="B269" t="str">
            <v>IMPORT</v>
          </cell>
        </row>
        <row r="270">
          <cell r="A270">
            <v>7082.14</v>
          </cell>
          <cell r="B270" t="str">
            <v>IMPORT</v>
          </cell>
        </row>
        <row r="271">
          <cell r="A271">
            <v>7082.14</v>
          </cell>
          <cell r="B271" t="str">
            <v>IMPORT</v>
          </cell>
        </row>
        <row r="272">
          <cell r="A272">
            <v>7082.14</v>
          </cell>
          <cell r="B272" t="str">
            <v>IMPORT</v>
          </cell>
        </row>
        <row r="273">
          <cell r="A273">
            <v>7082.14</v>
          </cell>
          <cell r="B273" t="str">
            <v>IMPORT</v>
          </cell>
        </row>
        <row r="274">
          <cell r="A274">
            <v>7082.14</v>
          </cell>
          <cell r="B274" t="str">
            <v>IMPORT</v>
          </cell>
        </row>
        <row r="275">
          <cell r="A275">
            <v>7082.14</v>
          </cell>
          <cell r="B275" t="str">
            <v>IMPORT</v>
          </cell>
        </row>
        <row r="276">
          <cell r="A276">
            <v>7082.14</v>
          </cell>
          <cell r="B276" t="str">
            <v>IMPORT</v>
          </cell>
        </row>
        <row r="277">
          <cell r="A277">
            <v>7082.14</v>
          </cell>
          <cell r="B277" t="str">
            <v>IMPORT</v>
          </cell>
        </row>
        <row r="278">
          <cell r="A278">
            <v>7082.14</v>
          </cell>
          <cell r="B278" t="str">
            <v>IMPORT</v>
          </cell>
        </row>
        <row r="279">
          <cell r="A279">
            <v>7082.14</v>
          </cell>
          <cell r="B279" t="str">
            <v>IMPORT</v>
          </cell>
        </row>
        <row r="280">
          <cell r="A280">
            <v>7082.14</v>
          </cell>
          <cell r="B280" t="str">
            <v>IMPORT</v>
          </cell>
        </row>
        <row r="281">
          <cell r="A281">
            <v>7082.15</v>
          </cell>
          <cell r="B281" t="str">
            <v>IMPORT</v>
          </cell>
        </row>
        <row r="282">
          <cell r="A282">
            <v>7082.15</v>
          </cell>
          <cell r="B282" t="str">
            <v>IMPORT</v>
          </cell>
        </row>
        <row r="283">
          <cell r="A283">
            <v>7082.15</v>
          </cell>
          <cell r="B283" t="str">
            <v>IMPORT</v>
          </cell>
        </row>
        <row r="284">
          <cell r="A284">
            <v>7082.15</v>
          </cell>
          <cell r="B284" t="str">
            <v>IMPORT</v>
          </cell>
        </row>
        <row r="285">
          <cell r="A285">
            <v>7082.15</v>
          </cell>
          <cell r="B285" t="str">
            <v>IMPORT</v>
          </cell>
        </row>
        <row r="286">
          <cell r="A286">
            <v>7082.15</v>
          </cell>
          <cell r="B286" t="str">
            <v>IMPORT</v>
          </cell>
        </row>
        <row r="287">
          <cell r="A287">
            <v>7082.15</v>
          </cell>
          <cell r="B287" t="str">
            <v>IMPORT</v>
          </cell>
        </row>
        <row r="288">
          <cell r="A288">
            <v>7082.15</v>
          </cell>
          <cell r="B288" t="str">
            <v>IMPORT</v>
          </cell>
        </row>
        <row r="289">
          <cell r="A289">
            <v>7082.15</v>
          </cell>
          <cell r="B289" t="str">
            <v>IMPORT</v>
          </cell>
        </row>
        <row r="290">
          <cell r="A290">
            <v>7082.15</v>
          </cell>
          <cell r="B290" t="str">
            <v>IMPORT</v>
          </cell>
        </row>
        <row r="291">
          <cell r="A291">
            <v>7082.16</v>
          </cell>
          <cell r="B291" t="str">
            <v>IMPORT</v>
          </cell>
        </row>
        <row r="292">
          <cell r="A292">
            <v>7082.16</v>
          </cell>
          <cell r="B292" t="str">
            <v>IMPORT</v>
          </cell>
        </row>
        <row r="293">
          <cell r="A293">
            <v>7082.16</v>
          </cell>
          <cell r="B293" t="str">
            <v>IMPORT</v>
          </cell>
        </row>
        <row r="294">
          <cell r="A294">
            <v>7082.16</v>
          </cell>
          <cell r="B294" t="str">
            <v>IMPORT</v>
          </cell>
        </row>
        <row r="295">
          <cell r="A295">
            <v>7082.16</v>
          </cell>
          <cell r="B295" t="str">
            <v>IMPORT</v>
          </cell>
        </row>
        <row r="296">
          <cell r="A296">
            <v>7082.16</v>
          </cell>
          <cell r="B296" t="str">
            <v>IMPORT</v>
          </cell>
        </row>
        <row r="297">
          <cell r="A297">
            <v>7082.16</v>
          </cell>
          <cell r="B297" t="str">
            <v>IMPORT</v>
          </cell>
        </row>
        <row r="298">
          <cell r="A298">
            <v>7082.16</v>
          </cell>
          <cell r="B298" t="str">
            <v>IMPORT</v>
          </cell>
        </row>
        <row r="299">
          <cell r="A299">
            <v>7082.16</v>
          </cell>
          <cell r="B299" t="str">
            <v>IMPORT</v>
          </cell>
        </row>
        <row r="300">
          <cell r="A300">
            <v>7082.16</v>
          </cell>
          <cell r="B300" t="str">
            <v>IMPORT</v>
          </cell>
        </row>
        <row r="301">
          <cell r="A301">
            <v>7082.17</v>
          </cell>
          <cell r="B301" t="str">
            <v>IMPORT</v>
          </cell>
        </row>
        <row r="302">
          <cell r="A302">
            <v>7082.17</v>
          </cell>
          <cell r="B302" t="str">
            <v>IMPORT</v>
          </cell>
        </row>
        <row r="303">
          <cell r="A303">
            <v>7082.17</v>
          </cell>
          <cell r="B303" t="str">
            <v>IMPORT</v>
          </cell>
        </row>
        <row r="304">
          <cell r="A304">
            <v>7082.17</v>
          </cell>
          <cell r="B304" t="str">
            <v>IMPORT</v>
          </cell>
        </row>
        <row r="305">
          <cell r="A305">
            <v>7082.17</v>
          </cell>
          <cell r="B305" t="str">
            <v>IMPORT</v>
          </cell>
        </row>
        <row r="306">
          <cell r="A306">
            <v>7082.17</v>
          </cell>
          <cell r="B306" t="str">
            <v>IMPORT</v>
          </cell>
        </row>
        <row r="307">
          <cell r="A307">
            <v>7082.17</v>
          </cell>
          <cell r="B307" t="str">
            <v>IMPORT</v>
          </cell>
        </row>
        <row r="308">
          <cell r="A308">
            <v>7082.17</v>
          </cell>
          <cell r="B308" t="str">
            <v>IMPORT</v>
          </cell>
        </row>
        <row r="309">
          <cell r="A309">
            <v>7082.17</v>
          </cell>
          <cell r="B309" t="str">
            <v>IMPORT</v>
          </cell>
        </row>
        <row r="310">
          <cell r="A310">
            <v>7082.17</v>
          </cell>
          <cell r="B310" t="str">
            <v>IMPORT</v>
          </cell>
        </row>
        <row r="311">
          <cell r="A311">
            <v>7082.17</v>
          </cell>
          <cell r="B311" t="str">
            <v>IMPORT</v>
          </cell>
        </row>
        <row r="312">
          <cell r="A312">
            <v>7082.17</v>
          </cell>
          <cell r="B312" t="str">
            <v>IMPORT</v>
          </cell>
        </row>
        <row r="313">
          <cell r="A313">
            <v>7082.17</v>
          </cell>
          <cell r="B313" t="str">
            <v>IMPORT</v>
          </cell>
        </row>
        <row r="314">
          <cell r="A314">
            <v>7082.17</v>
          </cell>
          <cell r="B314" t="str">
            <v>IMPORT</v>
          </cell>
        </row>
        <row r="315">
          <cell r="A315">
            <v>7082.17</v>
          </cell>
          <cell r="B315" t="str">
            <v>IMPORT</v>
          </cell>
        </row>
        <row r="316">
          <cell r="A316">
            <v>7082.17</v>
          </cell>
          <cell r="B316" t="str">
            <v>IMPORT</v>
          </cell>
        </row>
        <row r="317">
          <cell r="A317">
            <v>7082.17</v>
          </cell>
          <cell r="B317" t="str">
            <v>IMPORT</v>
          </cell>
        </row>
        <row r="318">
          <cell r="A318">
            <v>7082.17</v>
          </cell>
          <cell r="B318" t="str">
            <v>IMPORT</v>
          </cell>
        </row>
        <row r="319">
          <cell r="A319">
            <v>7082.17</v>
          </cell>
          <cell r="B319" t="str">
            <v>IMPORT</v>
          </cell>
        </row>
        <row r="320">
          <cell r="A320">
            <v>7082.17</v>
          </cell>
          <cell r="B320" t="str">
            <v>IMPORT</v>
          </cell>
        </row>
        <row r="321">
          <cell r="A321">
            <v>7082.17</v>
          </cell>
          <cell r="B321" t="str">
            <v>IMPORT</v>
          </cell>
        </row>
        <row r="322">
          <cell r="A322">
            <v>7082.18</v>
          </cell>
          <cell r="B322" t="str">
            <v>IMPORT</v>
          </cell>
        </row>
        <row r="323">
          <cell r="A323">
            <v>7082.18</v>
          </cell>
          <cell r="B323" t="str">
            <v>IMPORT</v>
          </cell>
        </row>
        <row r="324">
          <cell r="A324">
            <v>7082.18</v>
          </cell>
          <cell r="B324" t="str">
            <v>IMPORT</v>
          </cell>
        </row>
        <row r="325">
          <cell r="A325">
            <v>7082.18</v>
          </cell>
          <cell r="B325" t="str">
            <v>IMPORT</v>
          </cell>
        </row>
        <row r="326">
          <cell r="A326">
            <v>7082.18</v>
          </cell>
          <cell r="B326" t="str">
            <v>IMPORT</v>
          </cell>
        </row>
        <row r="327">
          <cell r="A327">
            <v>7082.18</v>
          </cell>
          <cell r="B327" t="str">
            <v>IMPORT</v>
          </cell>
        </row>
        <row r="328">
          <cell r="A328">
            <v>7082.18</v>
          </cell>
          <cell r="B328" t="str">
            <v>IMPORT</v>
          </cell>
        </row>
        <row r="329">
          <cell r="A329">
            <v>7082.18</v>
          </cell>
          <cell r="B329" t="str">
            <v>IMPORT</v>
          </cell>
        </row>
        <row r="330">
          <cell r="A330">
            <v>7082.18</v>
          </cell>
          <cell r="B330" t="str">
            <v>IMPORT</v>
          </cell>
        </row>
        <row r="331">
          <cell r="A331">
            <v>7082.18</v>
          </cell>
          <cell r="B331" t="str">
            <v>IMPORT</v>
          </cell>
        </row>
        <row r="332">
          <cell r="A332">
            <v>7082.19</v>
          </cell>
          <cell r="B332" t="str">
            <v>IMPORT</v>
          </cell>
        </row>
        <row r="333">
          <cell r="A333">
            <v>7082.19</v>
          </cell>
          <cell r="B333" t="str">
            <v>IMPORT</v>
          </cell>
        </row>
        <row r="334">
          <cell r="A334">
            <v>7082.19</v>
          </cell>
          <cell r="B334" t="str">
            <v>IMPORT</v>
          </cell>
        </row>
        <row r="335">
          <cell r="A335">
            <v>7082.19</v>
          </cell>
          <cell r="B335" t="str">
            <v>IMPORT</v>
          </cell>
        </row>
        <row r="336">
          <cell r="A336">
            <v>7082.19</v>
          </cell>
          <cell r="B336" t="str">
            <v>IMPORT</v>
          </cell>
        </row>
        <row r="337">
          <cell r="A337">
            <v>7082.19</v>
          </cell>
          <cell r="B337" t="str">
            <v>IMPORT</v>
          </cell>
        </row>
        <row r="338">
          <cell r="A338">
            <v>7082.19</v>
          </cell>
          <cell r="B338" t="str">
            <v>IMPORT</v>
          </cell>
        </row>
        <row r="339">
          <cell r="A339">
            <v>7082.19</v>
          </cell>
          <cell r="B339" t="str">
            <v>IMPORT</v>
          </cell>
        </row>
        <row r="340">
          <cell r="A340">
            <v>7082.19</v>
          </cell>
          <cell r="B340" t="str">
            <v>IMPORT</v>
          </cell>
        </row>
        <row r="341">
          <cell r="A341">
            <v>7082.19</v>
          </cell>
          <cell r="B341" t="str">
            <v>IMPORT</v>
          </cell>
        </row>
        <row r="342">
          <cell r="A342">
            <v>7082.19</v>
          </cell>
          <cell r="B342" t="str">
            <v>IMPORT</v>
          </cell>
        </row>
        <row r="343">
          <cell r="A343">
            <v>7082.19</v>
          </cell>
          <cell r="B343" t="str">
            <v>IMPORT</v>
          </cell>
        </row>
        <row r="344">
          <cell r="A344">
            <v>7082.19</v>
          </cell>
          <cell r="B344" t="str">
            <v>IMPORT</v>
          </cell>
        </row>
        <row r="345">
          <cell r="A345">
            <v>7082.19</v>
          </cell>
          <cell r="B345" t="str">
            <v>IMPORT</v>
          </cell>
        </row>
        <row r="346">
          <cell r="A346">
            <v>7082.19</v>
          </cell>
          <cell r="B346" t="str">
            <v>IMPORT</v>
          </cell>
        </row>
        <row r="347">
          <cell r="A347">
            <v>7082.19</v>
          </cell>
          <cell r="B347" t="str">
            <v>IMPORT</v>
          </cell>
        </row>
        <row r="348">
          <cell r="A348">
            <v>7082.19</v>
          </cell>
          <cell r="B348" t="str">
            <v>IMPORT</v>
          </cell>
        </row>
        <row r="349">
          <cell r="A349">
            <v>7082.19</v>
          </cell>
          <cell r="B349" t="str">
            <v>IMPORT</v>
          </cell>
        </row>
        <row r="350">
          <cell r="A350">
            <v>7082.2</v>
          </cell>
          <cell r="B350" t="str">
            <v>IMPORT</v>
          </cell>
        </row>
        <row r="351">
          <cell r="A351">
            <v>7082.2</v>
          </cell>
          <cell r="B351" t="str">
            <v>IMPORT</v>
          </cell>
        </row>
        <row r="352">
          <cell r="A352">
            <v>7082.2</v>
          </cell>
          <cell r="B352" t="str">
            <v>IMPORT</v>
          </cell>
        </row>
        <row r="353">
          <cell r="A353">
            <v>7082.2</v>
          </cell>
          <cell r="B353" t="str">
            <v>IMPORT</v>
          </cell>
        </row>
        <row r="354">
          <cell r="A354">
            <v>7082.2</v>
          </cell>
          <cell r="B354" t="str">
            <v>IMPORT</v>
          </cell>
        </row>
        <row r="355">
          <cell r="A355">
            <v>7082.2</v>
          </cell>
          <cell r="B355" t="str">
            <v>IMPORT</v>
          </cell>
        </row>
        <row r="356">
          <cell r="A356">
            <v>7082.2</v>
          </cell>
          <cell r="B356" t="str">
            <v>IMPORT</v>
          </cell>
        </row>
        <row r="357">
          <cell r="A357">
            <v>7082.2</v>
          </cell>
          <cell r="B357" t="str">
            <v>IMPORT</v>
          </cell>
        </row>
        <row r="358">
          <cell r="A358">
            <v>7082.2</v>
          </cell>
          <cell r="B358" t="str">
            <v>IMPORT</v>
          </cell>
        </row>
        <row r="359">
          <cell r="A359">
            <v>7082.2</v>
          </cell>
          <cell r="B359" t="str">
            <v>IMPORT</v>
          </cell>
        </row>
        <row r="360">
          <cell r="A360">
            <v>7082.2</v>
          </cell>
          <cell r="B360" t="str">
            <v>IMPORT</v>
          </cell>
        </row>
        <row r="361">
          <cell r="A361">
            <v>7082.2</v>
          </cell>
          <cell r="B361" t="str">
            <v>IMPORT</v>
          </cell>
        </row>
        <row r="362">
          <cell r="A362">
            <v>7082.2</v>
          </cell>
          <cell r="B362" t="str">
            <v>IMPORT</v>
          </cell>
        </row>
        <row r="363">
          <cell r="A363">
            <v>7082.2</v>
          </cell>
          <cell r="B363" t="str">
            <v>IMPORT</v>
          </cell>
        </row>
        <row r="364">
          <cell r="A364">
            <v>7082.2</v>
          </cell>
          <cell r="B364" t="str">
            <v>IMPORT</v>
          </cell>
        </row>
        <row r="365">
          <cell r="A365">
            <v>7082.2</v>
          </cell>
          <cell r="B365" t="str">
            <v>IMPORT</v>
          </cell>
        </row>
        <row r="366">
          <cell r="A366">
            <v>7082.2</v>
          </cell>
          <cell r="B366" t="str">
            <v>IMPORT</v>
          </cell>
        </row>
        <row r="367">
          <cell r="A367">
            <v>7082.2</v>
          </cell>
          <cell r="B367" t="str">
            <v>IMPORT</v>
          </cell>
        </row>
        <row r="368">
          <cell r="A368">
            <v>7082.2</v>
          </cell>
          <cell r="B368" t="str">
            <v>IMPORT</v>
          </cell>
        </row>
        <row r="369">
          <cell r="A369">
            <v>7082.2</v>
          </cell>
          <cell r="B369" t="str">
            <v>IMPORT</v>
          </cell>
        </row>
        <row r="370">
          <cell r="A370">
            <v>7082.2</v>
          </cell>
          <cell r="B370" t="str">
            <v>IMPORT</v>
          </cell>
        </row>
        <row r="371">
          <cell r="A371">
            <v>7082.2</v>
          </cell>
          <cell r="B371" t="str">
            <v>IMPORT</v>
          </cell>
        </row>
        <row r="372">
          <cell r="A372">
            <v>7082.2</v>
          </cell>
          <cell r="B372" t="str">
            <v>IMPORT</v>
          </cell>
        </row>
        <row r="373">
          <cell r="A373">
            <v>7082.2</v>
          </cell>
          <cell r="B373" t="str">
            <v>IMPORT</v>
          </cell>
        </row>
        <row r="374">
          <cell r="A374">
            <v>7082.21</v>
          </cell>
          <cell r="B374" t="str">
            <v>IMPORT</v>
          </cell>
        </row>
        <row r="375">
          <cell r="A375">
            <v>7082.21</v>
          </cell>
          <cell r="B375" t="str">
            <v>IMPORT</v>
          </cell>
        </row>
        <row r="376">
          <cell r="A376">
            <v>7082.21</v>
          </cell>
          <cell r="B376" t="str">
            <v>IMPORT</v>
          </cell>
        </row>
        <row r="377">
          <cell r="A377">
            <v>7082.21</v>
          </cell>
          <cell r="B377" t="str">
            <v>IMPORT</v>
          </cell>
        </row>
        <row r="378">
          <cell r="A378">
            <v>7082.21</v>
          </cell>
          <cell r="B378" t="str">
            <v>IMPORT</v>
          </cell>
        </row>
        <row r="379">
          <cell r="A379">
            <v>7082.21</v>
          </cell>
          <cell r="B379" t="str">
            <v>IMPORT</v>
          </cell>
        </row>
        <row r="380">
          <cell r="A380">
            <v>7082.21</v>
          </cell>
          <cell r="B380" t="str">
            <v>IMPORT</v>
          </cell>
        </row>
        <row r="381">
          <cell r="A381">
            <v>7082.21</v>
          </cell>
          <cell r="B381" t="str">
            <v>IMPORT</v>
          </cell>
        </row>
        <row r="382">
          <cell r="A382">
            <v>7082.21</v>
          </cell>
          <cell r="B382" t="str">
            <v>IMPORT</v>
          </cell>
        </row>
        <row r="383">
          <cell r="A383">
            <v>7082.21</v>
          </cell>
          <cell r="B383" t="str">
            <v>IMPORT</v>
          </cell>
        </row>
        <row r="384">
          <cell r="A384">
            <v>7082.21</v>
          </cell>
          <cell r="B384" t="str">
            <v>IMPORT</v>
          </cell>
        </row>
        <row r="385">
          <cell r="A385">
            <v>7082.21</v>
          </cell>
          <cell r="B385" t="str">
            <v>IMPORT</v>
          </cell>
        </row>
        <row r="386">
          <cell r="A386">
            <v>7082.21</v>
          </cell>
          <cell r="B386" t="str">
            <v>IMPORT</v>
          </cell>
        </row>
        <row r="387">
          <cell r="A387">
            <v>7082.21</v>
          </cell>
          <cell r="B387" t="str">
            <v>IMPORT</v>
          </cell>
        </row>
        <row r="388">
          <cell r="A388">
            <v>7082.21</v>
          </cell>
          <cell r="B388" t="str">
            <v>IMPORT</v>
          </cell>
        </row>
        <row r="389">
          <cell r="A389">
            <v>7082.21</v>
          </cell>
          <cell r="B389" t="str">
            <v>IMPORT</v>
          </cell>
        </row>
        <row r="390">
          <cell r="A390">
            <v>7082.21</v>
          </cell>
          <cell r="B390" t="str">
            <v>IMPORT</v>
          </cell>
        </row>
        <row r="391">
          <cell r="A391">
            <v>7082.21</v>
          </cell>
          <cell r="B391" t="str">
            <v>IMPORT</v>
          </cell>
        </row>
        <row r="392">
          <cell r="A392">
            <v>7082.21</v>
          </cell>
          <cell r="B392" t="str">
            <v>IMPORT</v>
          </cell>
        </row>
        <row r="393">
          <cell r="A393">
            <v>7082.21</v>
          </cell>
          <cell r="B393" t="str">
            <v>IMPORT</v>
          </cell>
        </row>
        <row r="394">
          <cell r="A394">
            <v>7082.21</v>
          </cell>
          <cell r="B394" t="str">
            <v>IMPORT</v>
          </cell>
        </row>
        <row r="395">
          <cell r="A395">
            <v>7082.21</v>
          </cell>
          <cell r="B395" t="str">
            <v>IMPORT</v>
          </cell>
        </row>
        <row r="396">
          <cell r="A396">
            <v>7082.21</v>
          </cell>
          <cell r="B396" t="str">
            <v>IMPORT</v>
          </cell>
        </row>
        <row r="397">
          <cell r="A397">
            <v>7082.21</v>
          </cell>
          <cell r="B397" t="str">
            <v>IMPORT</v>
          </cell>
        </row>
        <row r="398">
          <cell r="A398">
            <v>7082.21</v>
          </cell>
          <cell r="B398" t="str">
            <v>IMPORT</v>
          </cell>
        </row>
        <row r="399">
          <cell r="A399">
            <v>7082.22</v>
          </cell>
          <cell r="B399" t="str">
            <v>IMPORT</v>
          </cell>
        </row>
        <row r="400">
          <cell r="A400">
            <v>7082.22</v>
          </cell>
          <cell r="B400" t="str">
            <v>IMPORT</v>
          </cell>
        </row>
        <row r="401">
          <cell r="A401">
            <v>7082.22</v>
          </cell>
          <cell r="B401" t="str">
            <v>IMPORT</v>
          </cell>
        </row>
        <row r="402">
          <cell r="A402">
            <v>7082.22</v>
          </cell>
          <cell r="B402" t="str">
            <v>IMPORT</v>
          </cell>
        </row>
        <row r="403">
          <cell r="A403">
            <v>7082.22</v>
          </cell>
          <cell r="B403" t="str">
            <v>IMPORT</v>
          </cell>
        </row>
        <row r="404">
          <cell r="A404">
            <v>7082.22</v>
          </cell>
          <cell r="B404" t="str">
            <v>IMPORT</v>
          </cell>
        </row>
        <row r="405">
          <cell r="A405">
            <v>7082.22</v>
          </cell>
          <cell r="B405" t="str">
            <v>IMPORT</v>
          </cell>
        </row>
        <row r="406">
          <cell r="A406">
            <v>7082.22</v>
          </cell>
          <cell r="B406" t="str">
            <v>IMPORT</v>
          </cell>
        </row>
        <row r="407">
          <cell r="A407">
            <v>7082.22</v>
          </cell>
          <cell r="B407" t="str">
            <v>IMPORT</v>
          </cell>
        </row>
        <row r="408">
          <cell r="A408">
            <v>7082.22</v>
          </cell>
          <cell r="B408" t="str">
            <v>IMPORT</v>
          </cell>
        </row>
        <row r="409">
          <cell r="A409">
            <v>7082.23</v>
          </cell>
          <cell r="B409" t="str">
            <v>IMPORT</v>
          </cell>
        </row>
        <row r="410">
          <cell r="A410">
            <v>7082.23</v>
          </cell>
          <cell r="B410" t="str">
            <v>IMPORT</v>
          </cell>
        </row>
        <row r="411">
          <cell r="A411">
            <v>7082.23</v>
          </cell>
          <cell r="B411" t="str">
            <v>IMPORT</v>
          </cell>
        </row>
        <row r="412">
          <cell r="A412">
            <v>7082.23</v>
          </cell>
          <cell r="B412" t="str">
            <v>IMPORT</v>
          </cell>
        </row>
        <row r="413">
          <cell r="A413">
            <v>7082.23</v>
          </cell>
          <cell r="B413" t="str">
            <v>IMPORT</v>
          </cell>
        </row>
        <row r="414">
          <cell r="A414">
            <v>7082.23</v>
          </cell>
          <cell r="B414" t="str">
            <v>IMPORT</v>
          </cell>
        </row>
        <row r="415">
          <cell r="A415">
            <v>7082.23</v>
          </cell>
          <cell r="B415" t="str">
            <v>IMPORT</v>
          </cell>
        </row>
        <row r="416">
          <cell r="A416">
            <v>7082.23</v>
          </cell>
          <cell r="B416" t="str">
            <v>IMPORT</v>
          </cell>
        </row>
        <row r="417">
          <cell r="A417">
            <v>7082.23</v>
          </cell>
          <cell r="B417" t="str">
            <v>IMPORT</v>
          </cell>
        </row>
        <row r="418">
          <cell r="A418">
            <v>7082.23</v>
          </cell>
          <cell r="B418" t="str">
            <v>IMPORT</v>
          </cell>
        </row>
        <row r="419">
          <cell r="A419">
            <v>7082.23</v>
          </cell>
          <cell r="B419" t="str">
            <v>IMPORT</v>
          </cell>
        </row>
        <row r="420">
          <cell r="A420">
            <v>7082.23</v>
          </cell>
          <cell r="B420" t="str">
            <v>IMPORT</v>
          </cell>
        </row>
        <row r="421">
          <cell r="A421">
            <v>7082.23</v>
          </cell>
          <cell r="B421" t="str">
            <v>IMPORT</v>
          </cell>
        </row>
        <row r="422">
          <cell r="A422">
            <v>7082.23</v>
          </cell>
          <cell r="B422" t="str">
            <v>IMPORT</v>
          </cell>
        </row>
        <row r="423">
          <cell r="A423">
            <v>7082.23</v>
          </cell>
          <cell r="B423" t="str">
            <v>IMPORT</v>
          </cell>
        </row>
        <row r="424">
          <cell r="A424">
            <v>7082.24</v>
          </cell>
          <cell r="B424" t="str">
            <v>IMPORT</v>
          </cell>
        </row>
        <row r="425">
          <cell r="A425">
            <v>7082.24</v>
          </cell>
          <cell r="B425" t="str">
            <v>IMPORT</v>
          </cell>
        </row>
        <row r="426">
          <cell r="A426">
            <v>7082.24</v>
          </cell>
          <cell r="B426" t="str">
            <v>IMPORT</v>
          </cell>
        </row>
        <row r="427">
          <cell r="A427">
            <v>7082.24</v>
          </cell>
          <cell r="B427" t="str">
            <v>IMPORT</v>
          </cell>
        </row>
        <row r="428">
          <cell r="A428">
            <v>7082.24</v>
          </cell>
          <cell r="B428" t="str">
            <v>IMPORT</v>
          </cell>
        </row>
        <row r="429">
          <cell r="A429">
            <v>7082.24</v>
          </cell>
          <cell r="B429" t="str">
            <v>IMPORT</v>
          </cell>
        </row>
        <row r="430">
          <cell r="A430">
            <v>7082.24</v>
          </cell>
          <cell r="B430" t="str">
            <v>IMPORT</v>
          </cell>
        </row>
        <row r="431">
          <cell r="A431">
            <v>7082.24</v>
          </cell>
          <cell r="B431" t="str">
            <v>IMPORT</v>
          </cell>
        </row>
        <row r="432">
          <cell r="A432">
            <v>7082.24</v>
          </cell>
          <cell r="B432" t="str">
            <v>IMPORT</v>
          </cell>
        </row>
        <row r="433">
          <cell r="A433">
            <v>7082.24</v>
          </cell>
          <cell r="B433" t="str">
            <v>IMPORT</v>
          </cell>
        </row>
        <row r="434">
          <cell r="A434">
            <v>7082.25</v>
          </cell>
          <cell r="B434" t="str">
            <v>IMPORT</v>
          </cell>
        </row>
        <row r="435">
          <cell r="A435">
            <v>7082.25</v>
          </cell>
          <cell r="B435" t="str">
            <v>IMPORT</v>
          </cell>
        </row>
        <row r="436">
          <cell r="A436">
            <v>7082.25</v>
          </cell>
          <cell r="B436" t="str">
            <v>IMPORT</v>
          </cell>
        </row>
        <row r="437">
          <cell r="A437">
            <v>7082.25</v>
          </cell>
          <cell r="B437" t="str">
            <v>IMPORT</v>
          </cell>
        </row>
        <row r="438">
          <cell r="A438">
            <v>7082.25</v>
          </cell>
          <cell r="B438" t="str">
            <v>IMPORT</v>
          </cell>
        </row>
        <row r="439">
          <cell r="A439">
            <v>7082.25</v>
          </cell>
          <cell r="B439" t="str">
            <v>IMPORT</v>
          </cell>
        </row>
        <row r="440">
          <cell r="A440">
            <v>7082.25</v>
          </cell>
          <cell r="B440" t="str">
            <v>IMPORT</v>
          </cell>
        </row>
        <row r="441">
          <cell r="A441">
            <v>7082.25</v>
          </cell>
          <cell r="B441" t="str">
            <v>IMPORT</v>
          </cell>
        </row>
        <row r="442">
          <cell r="A442">
            <v>7082.25</v>
          </cell>
          <cell r="B442" t="str">
            <v>IMPORT</v>
          </cell>
        </row>
        <row r="443">
          <cell r="A443">
            <v>7082.25</v>
          </cell>
          <cell r="B443" t="str">
            <v>IMPORT</v>
          </cell>
        </row>
        <row r="444">
          <cell r="A444">
            <v>7082.25</v>
          </cell>
          <cell r="B444" t="str">
            <v>IMPORT</v>
          </cell>
        </row>
        <row r="445">
          <cell r="A445">
            <v>7082.25</v>
          </cell>
          <cell r="B445" t="str">
            <v>IMPORT</v>
          </cell>
        </row>
        <row r="446">
          <cell r="A446">
            <v>7082.25</v>
          </cell>
          <cell r="B446" t="str">
            <v>IMPORT</v>
          </cell>
        </row>
        <row r="447">
          <cell r="A447">
            <v>7082.25</v>
          </cell>
          <cell r="B447" t="str">
            <v>IMPORT</v>
          </cell>
        </row>
        <row r="448">
          <cell r="A448">
            <v>7082.25</v>
          </cell>
          <cell r="B448" t="str">
            <v>IMPORT</v>
          </cell>
        </row>
        <row r="449">
          <cell r="A449">
            <v>7082.25</v>
          </cell>
          <cell r="B449" t="str">
            <v>IMPORT</v>
          </cell>
        </row>
        <row r="450">
          <cell r="A450">
            <v>7082.25</v>
          </cell>
          <cell r="B450" t="str">
            <v>IMPORT</v>
          </cell>
        </row>
        <row r="451">
          <cell r="A451">
            <v>7082.26</v>
          </cell>
          <cell r="B451" t="str">
            <v>IMPORT</v>
          </cell>
        </row>
        <row r="452">
          <cell r="A452">
            <v>7082.26</v>
          </cell>
          <cell r="B452" t="str">
            <v>IMPORT</v>
          </cell>
        </row>
        <row r="453">
          <cell r="A453">
            <v>7082.26</v>
          </cell>
          <cell r="B453" t="str">
            <v>IMPORT</v>
          </cell>
        </row>
        <row r="454">
          <cell r="A454">
            <v>7082.26</v>
          </cell>
          <cell r="B454" t="str">
            <v>IMPORT</v>
          </cell>
        </row>
        <row r="455">
          <cell r="A455">
            <v>7082.26</v>
          </cell>
          <cell r="B455" t="str">
            <v>IMPORT</v>
          </cell>
        </row>
        <row r="456">
          <cell r="A456">
            <v>7082.27</v>
          </cell>
          <cell r="B456" t="str">
            <v>IMPORT</v>
          </cell>
        </row>
        <row r="457">
          <cell r="A457">
            <v>7082.27</v>
          </cell>
          <cell r="B457" t="str">
            <v>IMPORT</v>
          </cell>
        </row>
        <row r="458">
          <cell r="A458">
            <v>7082.27</v>
          </cell>
          <cell r="B458" t="str">
            <v>IMPORT</v>
          </cell>
        </row>
        <row r="459">
          <cell r="A459">
            <v>7082.27</v>
          </cell>
          <cell r="B459" t="str">
            <v>IMPORT</v>
          </cell>
        </row>
        <row r="460">
          <cell r="A460">
            <v>7082.27</v>
          </cell>
          <cell r="B460" t="str">
            <v>IMPORT</v>
          </cell>
        </row>
        <row r="461">
          <cell r="A461">
            <v>7082.28</v>
          </cell>
          <cell r="B461" t="str">
            <v>IMPORT</v>
          </cell>
        </row>
        <row r="462">
          <cell r="A462">
            <v>7082.28</v>
          </cell>
          <cell r="B462" t="str">
            <v>IMPORT</v>
          </cell>
        </row>
        <row r="463">
          <cell r="A463">
            <v>7082.28</v>
          </cell>
          <cell r="B463" t="str">
            <v>IMPORT</v>
          </cell>
        </row>
        <row r="464">
          <cell r="A464">
            <v>7082.28</v>
          </cell>
          <cell r="B464" t="str">
            <v>IMPORT</v>
          </cell>
        </row>
        <row r="465">
          <cell r="A465">
            <v>7082.28</v>
          </cell>
          <cell r="B465" t="str">
            <v>IMPORT</v>
          </cell>
        </row>
        <row r="466">
          <cell r="A466">
            <v>7082.28</v>
          </cell>
          <cell r="B466" t="str">
            <v>IMPORT</v>
          </cell>
        </row>
        <row r="467">
          <cell r="A467">
            <v>7083.01</v>
          </cell>
          <cell r="B467" t="str">
            <v>EXPORT</v>
          </cell>
        </row>
        <row r="468">
          <cell r="A468">
            <v>7083.01</v>
          </cell>
          <cell r="B468" t="str">
            <v>EXPORT</v>
          </cell>
        </row>
        <row r="469">
          <cell r="A469">
            <v>7083.01</v>
          </cell>
          <cell r="B469" t="str">
            <v>EXPORT</v>
          </cell>
        </row>
        <row r="470">
          <cell r="A470">
            <v>7083.01</v>
          </cell>
          <cell r="B470" t="str">
            <v>EXPORT</v>
          </cell>
        </row>
        <row r="471">
          <cell r="A471">
            <v>7083.01</v>
          </cell>
          <cell r="B471" t="str">
            <v>EXPORT</v>
          </cell>
        </row>
        <row r="472">
          <cell r="A472">
            <v>7083.01</v>
          </cell>
          <cell r="B472" t="str">
            <v>EXPORT</v>
          </cell>
        </row>
        <row r="473">
          <cell r="A473">
            <v>7083.02</v>
          </cell>
          <cell r="B473" t="str">
            <v>EXPORT</v>
          </cell>
        </row>
        <row r="474">
          <cell r="A474">
            <v>7083.02</v>
          </cell>
          <cell r="B474" t="str">
            <v>EXPORT</v>
          </cell>
        </row>
        <row r="475">
          <cell r="A475">
            <v>7083.02</v>
          </cell>
          <cell r="B475" t="str">
            <v>EXPORT</v>
          </cell>
        </row>
        <row r="476">
          <cell r="A476">
            <v>7083.02</v>
          </cell>
          <cell r="B476" t="str">
            <v>EXPORT</v>
          </cell>
        </row>
        <row r="477">
          <cell r="A477">
            <v>7083.02</v>
          </cell>
          <cell r="B477" t="str">
            <v>EXPORT</v>
          </cell>
        </row>
        <row r="478">
          <cell r="A478">
            <v>7083.02</v>
          </cell>
          <cell r="B478" t="str">
            <v>EXPORT</v>
          </cell>
        </row>
        <row r="479">
          <cell r="A479">
            <v>7083.02</v>
          </cell>
          <cell r="B479" t="str">
            <v>EXPORT</v>
          </cell>
        </row>
        <row r="480">
          <cell r="A480">
            <v>7083.02</v>
          </cell>
          <cell r="B480" t="str">
            <v>EXPORT</v>
          </cell>
        </row>
        <row r="481">
          <cell r="A481">
            <v>7083.02</v>
          </cell>
          <cell r="B481" t="str">
            <v>EXPORT</v>
          </cell>
        </row>
        <row r="482">
          <cell r="A482">
            <v>7083.02</v>
          </cell>
          <cell r="B482" t="str">
            <v>EXPORT</v>
          </cell>
        </row>
        <row r="483">
          <cell r="A483">
            <v>7083.02</v>
          </cell>
          <cell r="B483" t="str">
            <v>EXPORT</v>
          </cell>
        </row>
        <row r="484">
          <cell r="A484">
            <v>7083.02</v>
          </cell>
          <cell r="B484" t="str">
            <v>EXPORT</v>
          </cell>
        </row>
        <row r="485">
          <cell r="A485">
            <v>7083.02</v>
          </cell>
          <cell r="B485" t="str">
            <v>EXPORT</v>
          </cell>
        </row>
        <row r="486">
          <cell r="A486">
            <v>7083.02</v>
          </cell>
          <cell r="B486" t="str">
            <v>EXPORT</v>
          </cell>
        </row>
        <row r="487">
          <cell r="A487">
            <v>7083.02</v>
          </cell>
          <cell r="B487" t="str">
            <v>EXPORT</v>
          </cell>
        </row>
        <row r="488">
          <cell r="A488">
            <v>7083.03</v>
          </cell>
          <cell r="B488" t="str">
            <v>EXPORT</v>
          </cell>
        </row>
        <row r="489">
          <cell r="A489">
            <v>7083.03</v>
          </cell>
          <cell r="B489" t="str">
            <v>EXPORT</v>
          </cell>
        </row>
        <row r="490">
          <cell r="A490">
            <v>7083.03</v>
          </cell>
          <cell r="B490" t="str">
            <v>EXPORT</v>
          </cell>
        </row>
        <row r="491">
          <cell r="A491">
            <v>7083.03</v>
          </cell>
          <cell r="B491" t="str">
            <v>EXPORT</v>
          </cell>
        </row>
        <row r="492">
          <cell r="A492">
            <v>7083.03</v>
          </cell>
          <cell r="B492" t="str">
            <v>EXPORT</v>
          </cell>
        </row>
        <row r="493">
          <cell r="A493">
            <v>7083.03</v>
          </cell>
          <cell r="B493" t="str">
            <v>EXPORT</v>
          </cell>
        </row>
        <row r="494">
          <cell r="A494">
            <v>7083.04</v>
          </cell>
          <cell r="B494" t="str">
            <v>EXPORT</v>
          </cell>
        </row>
        <row r="495">
          <cell r="A495">
            <v>7083.04</v>
          </cell>
          <cell r="B495" t="str">
            <v>EXPORT</v>
          </cell>
        </row>
        <row r="496">
          <cell r="A496">
            <v>7083.04</v>
          </cell>
          <cell r="B496" t="str">
            <v>EXPORT</v>
          </cell>
        </row>
        <row r="497">
          <cell r="A497">
            <v>7083.04</v>
          </cell>
          <cell r="B497" t="str">
            <v>EXPORT</v>
          </cell>
        </row>
        <row r="498">
          <cell r="A498">
            <v>7083.04</v>
          </cell>
          <cell r="B498" t="str">
            <v>EXPORT</v>
          </cell>
        </row>
        <row r="499">
          <cell r="A499">
            <v>7083.04</v>
          </cell>
          <cell r="B499" t="str">
            <v>EXPORT</v>
          </cell>
        </row>
        <row r="500">
          <cell r="A500">
            <v>7083.04</v>
          </cell>
          <cell r="B500" t="str">
            <v>EXPORT</v>
          </cell>
        </row>
        <row r="501">
          <cell r="A501">
            <v>7083.04</v>
          </cell>
          <cell r="B501" t="str">
            <v>EXPORT</v>
          </cell>
        </row>
        <row r="502">
          <cell r="A502">
            <v>7083.04</v>
          </cell>
          <cell r="B502" t="str">
            <v>EXPORT</v>
          </cell>
        </row>
        <row r="503">
          <cell r="A503">
            <v>7083.05</v>
          </cell>
          <cell r="B503" t="str">
            <v>EXPORT</v>
          </cell>
        </row>
        <row r="504">
          <cell r="A504">
            <v>7083.05</v>
          </cell>
          <cell r="B504" t="str">
            <v>EXPORT</v>
          </cell>
        </row>
        <row r="505">
          <cell r="A505">
            <v>7083.05</v>
          </cell>
          <cell r="B505" t="str">
            <v>EXPORT</v>
          </cell>
        </row>
        <row r="506">
          <cell r="A506">
            <v>7083.05</v>
          </cell>
          <cell r="B506" t="str">
            <v>EXPORT</v>
          </cell>
        </row>
        <row r="507">
          <cell r="A507">
            <v>7083.05</v>
          </cell>
          <cell r="B507" t="str">
            <v>EXPORT</v>
          </cell>
        </row>
        <row r="508">
          <cell r="A508">
            <v>7083.05</v>
          </cell>
          <cell r="B508" t="str">
            <v>EXPORT</v>
          </cell>
        </row>
        <row r="509">
          <cell r="A509">
            <v>7083.05</v>
          </cell>
          <cell r="B509" t="str">
            <v>EXPORT</v>
          </cell>
        </row>
        <row r="510">
          <cell r="A510">
            <v>7083.05</v>
          </cell>
          <cell r="B510" t="str">
            <v>EXPORT</v>
          </cell>
        </row>
        <row r="511">
          <cell r="A511">
            <v>7083.05</v>
          </cell>
          <cell r="B511" t="str">
            <v>EXPORT</v>
          </cell>
        </row>
        <row r="512">
          <cell r="A512">
            <v>7083.05</v>
          </cell>
          <cell r="B512" t="str">
            <v>EXPORT</v>
          </cell>
        </row>
        <row r="513">
          <cell r="A513">
            <v>7083.05</v>
          </cell>
          <cell r="B513" t="str">
            <v>EXPORT</v>
          </cell>
        </row>
        <row r="514">
          <cell r="A514">
            <v>7083.05</v>
          </cell>
          <cell r="B514" t="str">
            <v>EXPORT</v>
          </cell>
        </row>
        <row r="515">
          <cell r="A515">
            <v>7083.05</v>
          </cell>
          <cell r="B515" t="str">
            <v>EXPORT</v>
          </cell>
        </row>
        <row r="516">
          <cell r="A516">
            <v>7083.05</v>
          </cell>
          <cell r="B516" t="str">
            <v>EXPORT</v>
          </cell>
        </row>
        <row r="517">
          <cell r="A517">
            <v>7083.05</v>
          </cell>
          <cell r="B517" t="str">
            <v>EXPORT</v>
          </cell>
        </row>
        <row r="518">
          <cell r="A518">
            <v>7083.06</v>
          </cell>
          <cell r="B518" t="str">
            <v>EXPORT</v>
          </cell>
        </row>
        <row r="519">
          <cell r="A519">
            <v>7083.06</v>
          </cell>
          <cell r="B519" t="str">
            <v>EXPORT</v>
          </cell>
        </row>
        <row r="520">
          <cell r="A520">
            <v>7083.06</v>
          </cell>
          <cell r="B520" t="str">
            <v>EXPORT</v>
          </cell>
        </row>
        <row r="521">
          <cell r="A521">
            <v>7083.06</v>
          </cell>
          <cell r="B521" t="str">
            <v>EXPORT</v>
          </cell>
        </row>
        <row r="522">
          <cell r="A522">
            <v>7083.06</v>
          </cell>
          <cell r="B522" t="str">
            <v>EXPORT</v>
          </cell>
        </row>
        <row r="523">
          <cell r="A523">
            <v>7083.06</v>
          </cell>
          <cell r="B523" t="str">
            <v>EXPORT</v>
          </cell>
        </row>
        <row r="524">
          <cell r="A524">
            <v>7083.06</v>
          </cell>
          <cell r="B524" t="str">
            <v>EXPORT</v>
          </cell>
        </row>
        <row r="525">
          <cell r="A525">
            <v>7083.06</v>
          </cell>
          <cell r="B525" t="str">
            <v>EXPORT</v>
          </cell>
        </row>
        <row r="526">
          <cell r="A526">
            <v>7083.06</v>
          </cell>
          <cell r="B526" t="str">
            <v>EXPORT</v>
          </cell>
        </row>
        <row r="527">
          <cell r="A527">
            <v>7083.07</v>
          </cell>
          <cell r="B527" t="str">
            <v>EXPORT</v>
          </cell>
        </row>
        <row r="528">
          <cell r="A528">
            <v>7083.07</v>
          </cell>
          <cell r="B528" t="str">
            <v>EXPORT</v>
          </cell>
        </row>
        <row r="529">
          <cell r="A529">
            <v>7083.07</v>
          </cell>
          <cell r="B529" t="str">
            <v>EXPORT</v>
          </cell>
        </row>
        <row r="530">
          <cell r="A530">
            <v>7083.07</v>
          </cell>
          <cell r="B530" t="str">
            <v>EXPORT</v>
          </cell>
        </row>
        <row r="531">
          <cell r="A531">
            <v>7083.07</v>
          </cell>
          <cell r="B531" t="str">
            <v>EXPORT</v>
          </cell>
        </row>
        <row r="532">
          <cell r="A532">
            <v>7083.07</v>
          </cell>
          <cell r="B532" t="str">
            <v>EXPORT</v>
          </cell>
        </row>
        <row r="533">
          <cell r="A533">
            <v>7083.07</v>
          </cell>
          <cell r="B533" t="str">
            <v>EXPORT</v>
          </cell>
        </row>
        <row r="534">
          <cell r="A534">
            <v>7083.07</v>
          </cell>
          <cell r="B534" t="str">
            <v>EXPORT</v>
          </cell>
        </row>
        <row r="535">
          <cell r="A535">
            <v>7083.07</v>
          </cell>
          <cell r="B535" t="str">
            <v>EXPORT</v>
          </cell>
        </row>
        <row r="536">
          <cell r="A536">
            <v>7083.07</v>
          </cell>
          <cell r="B536" t="str">
            <v>EXPORT</v>
          </cell>
        </row>
        <row r="537">
          <cell r="A537">
            <v>7083.07</v>
          </cell>
          <cell r="B537" t="str">
            <v>EXPORT</v>
          </cell>
        </row>
        <row r="538">
          <cell r="A538">
            <v>7083.07</v>
          </cell>
          <cell r="B538" t="str">
            <v>EXPORT</v>
          </cell>
        </row>
        <row r="539">
          <cell r="A539">
            <v>7083.07</v>
          </cell>
          <cell r="B539" t="str">
            <v>EXPORT</v>
          </cell>
        </row>
        <row r="540">
          <cell r="A540">
            <v>7083.07</v>
          </cell>
          <cell r="B540" t="str">
            <v>EXPORT</v>
          </cell>
        </row>
        <row r="541">
          <cell r="A541">
            <v>7083.07</v>
          </cell>
          <cell r="B541" t="str">
            <v>EXPORT</v>
          </cell>
        </row>
        <row r="542">
          <cell r="A542">
            <v>7083.07</v>
          </cell>
          <cell r="B542" t="str">
            <v>EXPORT</v>
          </cell>
        </row>
        <row r="543">
          <cell r="A543">
            <v>7083.07</v>
          </cell>
          <cell r="B543" t="str">
            <v>EXPORT</v>
          </cell>
        </row>
        <row r="544">
          <cell r="A544">
            <v>7083.07</v>
          </cell>
          <cell r="B544" t="str">
            <v>EXPORT</v>
          </cell>
        </row>
        <row r="545">
          <cell r="A545">
            <v>7083.08</v>
          </cell>
          <cell r="B545" t="str">
            <v>EXPORT</v>
          </cell>
        </row>
        <row r="546">
          <cell r="A546">
            <v>7083.08</v>
          </cell>
          <cell r="B546" t="str">
            <v>EXPORT</v>
          </cell>
        </row>
        <row r="547">
          <cell r="A547">
            <v>7083.08</v>
          </cell>
          <cell r="B547" t="str">
            <v>EXPORT</v>
          </cell>
        </row>
        <row r="548">
          <cell r="A548">
            <v>7083.08</v>
          </cell>
          <cell r="B548" t="str">
            <v>EXPORT</v>
          </cell>
        </row>
        <row r="549">
          <cell r="A549">
            <v>7083.08</v>
          </cell>
          <cell r="B549" t="str">
            <v>EXPORT</v>
          </cell>
        </row>
        <row r="550">
          <cell r="A550">
            <v>7083.08</v>
          </cell>
          <cell r="B550" t="str">
            <v>EXPORT</v>
          </cell>
        </row>
        <row r="551">
          <cell r="A551">
            <v>7083.08</v>
          </cell>
          <cell r="B551" t="str">
            <v>EXPORT</v>
          </cell>
        </row>
        <row r="552">
          <cell r="A552">
            <v>7083.08</v>
          </cell>
          <cell r="B552" t="str">
            <v>EXPORT</v>
          </cell>
        </row>
        <row r="553">
          <cell r="A553">
            <v>7083.08</v>
          </cell>
          <cell r="B553" t="str">
            <v>EXPORT</v>
          </cell>
        </row>
        <row r="554">
          <cell r="A554">
            <v>7083.08</v>
          </cell>
          <cell r="B554" t="str">
            <v>EXPORT</v>
          </cell>
        </row>
        <row r="555">
          <cell r="A555">
            <v>7083.08</v>
          </cell>
          <cell r="B555" t="str">
            <v>EXPORT</v>
          </cell>
        </row>
        <row r="556">
          <cell r="A556">
            <v>7083.08</v>
          </cell>
          <cell r="B556" t="str">
            <v>EXPORT</v>
          </cell>
        </row>
        <row r="557">
          <cell r="A557">
            <v>7083.08</v>
          </cell>
          <cell r="B557" t="str">
            <v>EXPORT</v>
          </cell>
        </row>
        <row r="558">
          <cell r="A558">
            <v>7083.08</v>
          </cell>
          <cell r="B558" t="str">
            <v>EXPORT</v>
          </cell>
        </row>
        <row r="559">
          <cell r="A559">
            <v>7083.08</v>
          </cell>
          <cell r="B559" t="str">
            <v>EXPORT</v>
          </cell>
        </row>
        <row r="560">
          <cell r="A560">
            <v>7083.08</v>
          </cell>
          <cell r="B560" t="str">
            <v>EXPORT</v>
          </cell>
        </row>
        <row r="561">
          <cell r="A561">
            <v>7083.08</v>
          </cell>
          <cell r="B561" t="str">
            <v>EXPORT</v>
          </cell>
        </row>
        <row r="562">
          <cell r="A562">
            <v>7083.08</v>
          </cell>
          <cell r="B562" t="str">
            <v>EXPORT</v>
          </cell>
        </row>
        <row r="563">
          <cell r="A563">
            <v>7085.03</v>
          </cell>
          <cell r="B563" t="str">
            <v>EMPTY</v>
          </cell>
        </row>
        <row r="564">
          <cell r="A564">
            <v>7085.03</v>
          </cell>
          <cell r="B564" t="str">
            <v>EMPTY</v>
          </cell>
        </row>
        <row r="565">
          <cell r="A565">
            <v>7085.03</v>
          </cell>
          <cell r="B565" t="str">
            <v>EMPTY</v>
          </cell>
        </row>
        <row r="566">
          <cell r="A566">
            <v>7085.03</v>
          </cell>
          <cell r="B566" t="str">
            <v>EMPTY</v>
          </cell>
        </row>
        <row r="567">
          <cell r="A567">
            <v>7085.03</v>
          </cell>
          <cell r="B567" t="str">
            <v>EMPTY</v>
          </cell>
        </row>
        <row r="568">
          <cell r="A568">
            <v>7085.03</v>
          </cell>
          <cell r="B568" t="str">
            <v>EMPTY</v>
          </cell>
        </row>
        <row r="569">
          <cell r="A569">
            <v>7085.04</v>
          </cell>
          <cell r="B569" t="str">
            <v>EMPTY</v>
          </cell>
        </row>
        <row r="570">
          <cell r="A570">
            <v>7085.04</v>
          </cell>
          <cell r="B570" t="str">
            <v>EMPTY</v>
          </cell>
        </row>
        <row r="571">
          <cell r="A571">
            <v>7085.04</v>
          </cell>
          <cell r="B571" t="str">
            <v>EMPTY</v>
          </cell>
        </row>
        <row r="572">
          <cell r="A572">
            <v>7085.04</v>
          </cell>
          <cell r="B572" t="str">
            <v>EMPTY</v>
          </cell>
        </row>
        <row r="573">
          <cell r="A573">
            <v>7085.04</v>
          </cell>
          <cell r="B573" t="str">
            <v>EMPTY</v>
          </cell>
        </row>
        <row r="574">
          <cell r="A574">
            <v>7085.04</v>
          </cell>
          <cell r="B574" t="str">
            <v>EMPTY</v>
          </cell>
        </row>
        <row r="575">
          <cell r="A575">
            <v>7085.04</v>
          </cell>
          <cell r="B575" t="str">
            <v>EMPTY</v>
          </cell>
        </row>
        <row r="576">
          <cell r="A576">
            <v>7085.04</v>
          </cell>
          <cell r="B576" t="str">
            <v>EMPTY</v>
          </cell>
        </row>
        <row r="577">
          <cell r="A577">
            <v>7085.04</v>
          </cell>
          <cell r="B577" t="str">
            <v>EMPTY</v>
          </cell>
        </row>
        <row r="578">
          <cell r="A578">
            <v>7085.04</v>
          </cell>
          <cell r="B578" t="str">
            <v>EMPTY</v>
          </cell>
        </row>
        <row r="579">
          <cell r="A579">
            <v>7085.06</v>
          </cell>
          <cell r="B579" t="str">
            <v>EMPTY</v>
          </cell>
        </row>
        <row r="580">
          <cell r="A580">
            <v>7085.06</v>
          </cell>
          <cell r="B580" t="str">
            <v>EMPTY</v>
          </cell>
        </row>
        <row r="581">
          <cell r="A581">
            <v>7085.06</v>
          </cell>
          <cell r="B581" t="str">
            <v>EMPTY</v>
          </cell>
        </row>
        <row r="582">
          <cell r="A582">
            <v>7085.08</v>
          </cell>
          <cell r="B582" t="str">
            <v>EMPTY</v>
          </cell>
        </row>
        <row r="583">
          <cell r="A583">
            <v>7085.08</v>
          </cell>
          <cell r="B583" t="str">
            <v>EMPTY</v>
          </cell>
        </row>
        <row r="584">
          <cell r="A584">
            <v>7085.08</v>
          </cell>
          <cell r="B584" t="str">
            <v>EMPTY</v>
          </cell>
        </row>
        <row r="585">
          <cell r="A585">
            <v>7085.08</v>
          </cell>
          <cell r="B585" t="str">
            <v>EMPTY</v>
          </cell>
        </row>
        <row r="586">
          <cell r="A586">
            <v>7085.08</v>
          </cell>
          <cell r="B586" t="str">
            <v>EMPTY</v>
          </cell>
        </row>
        <row r="587">
          <cell r="A587">
            <v>7085.08</v>
          </cell>
          <cell r="B587" t="str">
            <v>EMPTY</v>
          </cell>
        </row>
        <row r="588">
          <cell r="A588">
            <v>7085.08</v>
          </cell>
          <cell r="B588" t="str">
            <v>EMPTY</v>
          </cell>
        </row>
        <row r="589">
          <cell r="A589">
            <v>7085.08</v>
          </cell>
          <cell r="B589" t="str">
            <v>EMPTY</v>
          </cell>
        </row>
        <row r="590">
          <cell r="A590">
            <v>7085.08</v>
          </cell>
          <cell r="B590" t="str">
            <v>EMPTY</v>
          </cell>
        </row>
        <row r="591">
          <cell r="A591">
            <v>7085.09</v>
          </cell>
          <cell r="B591" t="str">
            <v>EMPTY</v>
          </cell>
        </row>
        <row r="592">
          <cell r="A592">
            <v>7085.09</v>
          </cell>
          <cell r="B592" t="str">
            <v>EMPTY</v>
          </cell>
        </row>
        <row r="593">
          <cell r="A593">
            <v>7085.09</v>
          </cell>
          <cell r="B593" t="str">
            <v>EMPTY</v>
          </cell>
        </row>
        <row r="594">
          <cell r="A594">
            <v>7085.09</v>
          </cell>
          <cell r="B594" t="str">
            <v>EMPTY</v>
          </cell>
        </row>
        <row r="595">
          <cell r="A595">
            <v>7085.09</v>
          </cell>
          <cell r="B595" t="str">
            <v>EMPTY</v>
          </cell>
        </row>
        <row r="596">
          <cell r="A596">
            <v>7085.09</v>
          </cell>
          <cell r="B596" t="str">
            <v>EMPTY</v>
          </cell>
        </row>
        <row r="597">
          <cell r="A597">
            <v>7086.01</v>
          </cell>
          <cell r="B597" t="str">
            <v>OTHER</v>
          </cell>
        </row>
        <row r="598">
          <cell r="A598">
            <v>7086.01</v>
          </cell>
          <cell r="B598" t="str">
            <v>OTHER</v>
          </cell>
        </row>
        <row r="599">
          <cell r="A599">
            <v>7086.01</v>
          </cell>
          <cell r="B599" t="str">
            <v>OTHER</v>
          </cell>
        </row>
        <row r="600">
          <cell r="A600">
            <v>7086.01</v>
          </cell>
          <cell r="B600" t="str">
            <v>OTHER</v>
          </cell>
        </row>
        <row r="601">
          <cell r="A601">
            <v>7086.01</v>
          </cell>
          <cell r="B601" t="str">
            <v>OTHER</v>
          </cell>
        </row>
        <row r="602">
          <cell r="A602">
            <v>7086.01</v>
          </cell>
          <cell r="B602" t="str">
            <v>OTHER</v>
          </cell>
        </row>
        <row r="603">
          <cell r="A603">
            <v>7086.01</v>
          </cell>
          <cell r="B603" t="str">
            <v>OTHER</v>
          </cell>
        </row>
        <row r="604">
          <cell r="A604">
            <v>7086.01</v>
          </cell>
          <cell r="B604" t="str">
            <v>OTHER</v>
          </cell>
        </row>
        <row r="605">
          <cell r="A605">
            <v>7086.01</v>
          </cell>
          <cell r="B605" t="str">
            <v>OTHER</v>
          </cell>
        </row>
        <row r="606">
          <cell r="A606">
            <v>7086.01</v>
          </cell>
          <cell r="B606" t="str">
            <v>OTHER</v>
          </cell>
        </row>
        <row r="607">
          <cell r="A607">
            <v>7086.01</v>
          </cell>
          <cell r="B607" t="str">
            <v>OTHER</v>
          </cell>
        </row>
        <row r="608">
          <cell r="A608">
            <v>7086.01</v>
          </cell>
          <cell r="B608" t="str">
            <v>OTHER</v>
          </cell>
        </row>
        <row r="609">
          <cell r="A609">
            <v>7086.01</v>
          </cell>
          <cell r="B609" t="str">
            <v>OTHER</v>
          </cell>
        </row>
        <row r="610">
          <cell r="A610">
            <v>7086.01</v>
          </cell>
          <cell r="B610" t="str">
            <v>OTHER</v>
          </cell>
        </row>
        <row r="611">
          <cell r="A611">
            <v>7086.01</v>
          </cell>
          <cell r="B611" t="str">
            <v>OTHER</v>
          </cell>
        </row>
        <row r="612">
          <cell r="A612">
            <v>7086.01</v>
          </cell>
          <cell r="B612" t="str">
            <v>OTHER</v>
          </cell>
        </row>
        <row r="613">
          <cell r="A613">
            <v>7086.01</v>
          </cell>
          <cell r="B613" t="str">
            <v>OTHER</v>
          </cell>
        </row>
        <row r="614">
          <cell r="A614">
            <v>7086.01</v>
          </cell>
          <cell r="B614" t="str">
            <v>OTHER</v>
          </cell>
        </row>
        <row r="615">
          <cell r="A615">
            <v>7086.01</v>
          </cell>
          <cell r="B615" t="str">
            <v>OTHER</v>
          </cell>
        </row>
        <row r="616">
          <cell r="A616">
            <v>7086.01</v>
          </cell>
          <cell r="B616" t="str">
            <v>OTHER</v>
          </cell>
        </row>
        <row r="617">
          <cell r="A617">
            <v>7086.01</v>
          </cell>
          <cell r="B617" t="str">
            <v>OTHER</v>
          </cell>
        </row>
        <row r="618">
          <cell r="A618">
            <v>7086.01</v>
          </cell>
          <cell r="B618" t="str">
            <v>OTHER</v>
          </cell>
        </row>
        <row r="619">
          <cell r="A619">
            <v>7086.01</v>
          </cell>
          <cell r="B619" t="str">
            <v>OTHER</v>
          </cell>
        </row>
        <row r="620">
          <cell r="A620">
            <v>7086.01</v>
          </cell>
          <cell r="B620" t="str">
            <v>OTHER</v>
          </cell>
        </row>
        <row r="621">
          <cell r="A621">
            <v>7086.01</v>
          </cell>
          <cell r="B621" t="str">
            <v>OTHER</v>
          </cell>
        </row>
        <row r="622">
          <cell r="A622">
            <v>7086.01</v>
          </cell>
          <cell r="B622" t="str">
            <v>OTHER</v>
          </cell>
        </row>
        <row r="623">
          <cell r="A623">
            <v>7086.01</v>
          </cell>
          <cell r="B623" t="str">
            <v>OTHER</v>
          </cell>
        </row>
        <row r="624">
          <cell r="A624">
            <v>7086.01</v>
          </cell>
          <cell r="B624" t="str">
            <v>OTHER</v>
          </cell>
        </row>
        <row r="625">
          <cell r="A625">
            <v>7086.01</v>
          </cell>
          <cell r="B625" t="str">
            <v>OTHER</v>
          </cell>
        </row>
        <row r="626">
          <cell r="A626">
            <v>7086.01</v>
          </cell>
          <cell r="B626" t="str">
            <v>OTHER</v>
          </cell>
        </row>
        <row r="627">
          <cell r="A627">
            <v>7086.01</v>
          </cell>
          <cell r="B627" t="str">
            <v>OTHER</v>
          </cell>
        </row>
        <row r="628">
          <cell r="A628">
            <v>7086.01</v>
          </cell>
          <cell r="B628" t="str">
            <v>OTHER</v>
          </cell>
        </row>
        <row r="629">
          <cell r="A629">
            <v>7086.01</v>
          </cell>
          <cell r="B629" t="str">
            <v>OTHER</v>
          </cell>
        </row>
        <row r="630">
          <cell r="A630">
            <v>7086.01</v>
          </cell>
          <cell r="B630" t="str">
            <v>OTHER</v>
          </cell>
        </row>
        <row r="631">
          <cell r="A631">
            <v>7086.01</v>
          </cell>
          <cell r="B631" t="str">
            <v>OTHER</v>
          </cell>
        </row>
        <row r="632">
          <cell r="A632">
            <v>7086.01</v>
          </cell>
          <cell r="B632" t="str">
            <v>OTHER</v>
          </cell>
        </row>
        <row r="633">
          <cell r="A633">
            <v>7086.01</v>
          </cell>
          <cell r="B633" t="str">
            <v>OTHER</v>
          </cell>
        </row>
        <row r="634">
          <cell r="A634">
            <v>7086.01</v>
          </cell>
          <cell r="B634" t="str">
            <v>OTHER</v>
          </cell>
        </row>
        <row r="635">
          <cell r="A635">
            <v>7086.01</v>
          </cell>
          <cell r="B635" t="str">
            <v>OTHER</v>
          </cell>
        </row>
        <row r="636">
          <cell r="A636">
            <v>7086.01</v>
          </cell>
          <cell r="B636" t="str">
            <v>OTHER</v>
          </cell>
        </row>
        <row r="637">
          <cell r="A637">
            <v>7086.01</v>
          </cell>
          <cell r="B637" t="str">
            <v>OTHER</v>
          </cell>
        </row>
        <row r="638">
          <cell r="A638">
            <v>7086.01</v>
          </cell>
          <cell r="B638" t="str">
            <v>OTHER</v>
          </cell>
        </row>
        <row r="639">
          <cell r="A639">
            <v>7086.01</v>
          </cell>
          <cell r="B639" t="str">
            <v>OTHER</v>
          </cell>
        </row>
        <row r="640">
          <cell r="A640">
            <v>7086.01</v>
          </cell>
          <cell r="B640" t="str">
            <v>OTHER</v>
          </cell>
        </row>
        <row r="641">
          <cell r="A641">
            <v>7086.01</v>
          </cell>
          <cell r="B641" t="str">
            <v>OTHER</v>
          </cell>
        </row>
        <row r="642">
          <cell r="A642">
            <v>7086.01</v>
          </cell>
          <cell r="B642" t="str">
            <v>OTHER</v>
          </cell>
        </row>
        <row r="643">
          <cell r="A643">
            <v>7086.01</v>
          </cell>
          <cell r="B643" t="str">
            <v>OTHER</v>
          </cell>
        </row>
        <row r="644">
          <cell r="A644">
            <v>7086.01</v>
          </cell>
          <cell r="B644" t="str">
            <v>OTHER</v>
          </cell>
        </row>
        <row r="645">
          <cell r="A645">
            <v>7086.01</v>
          </cell>
          <cell r="B645" t="str">
            <v>OTHER</v>
          </cell>
        </row>
        <row r="646">
          <cell r="A646">
            <v>7086.01</v>
          </cell>
          <cell r="B646" t="str">
            <v>OTHER</v>
          </cell>
        </row>
        <row r="647">
          <cell r="A647">
            <v>7086.01</v>
          </cell>
          <cell r="B647" t="str">
            <v>OTHER</v>
          </cell>
        </row>
        <row r="648">
          <cell r="A648">
            <v>7086.01</v>
          </cell>
          <cell r="B648" t="str">
            <v>OTHER</v>
          </cell>
        </row>
        <row r="649">
          <cell r="A649">
            <v>7086.01</v>
          </cell>
          <cell r="B649" t="str">
            <v>OTHER</v>
          </cell>
        </row>
        <row r="650">
          <cell r="A650">
            <v>7086.01</v>
          </cell>
          <cell r="B650" t="str">
            <v>OTHER</v>
          </cell>
        </row>
        <row r="651">
          <cell r="A651">
            <v>7086.01</v>
          </cell>
          <cell r="B651" t="str">
            <v>OTHER</v>
          </cell>
        </row>
        <row r="652">
          <cell r="A652">
            <v>7086.01</v>
          </cell>
          <cell r="B652" t="str">
            <v>OTHER</v>
          </cell>
        </row>
        <row r="653">
          <cell r="A653">
            <v>7086.01</v>
          </cell>
          <cell r="B653" t="str">
            <v>OTHER</v>
          </cell>
        </row>
        <row r="654">
          <cell r="A654">
            <v>7086.01</v>
          </cell>
          <cell r="B654" t="str">
            <v>OTHER</v>
          </cell>
        </row>
        <row r="655">
          <cell r="A655">
            <v>7086.01</v>
          </cell>
          <cell r="B655" t="str">
            <v>OTHER</v>
          </cell>
        </row>
        <row r="656">
          <cell r="A656">
            <v>7086.01</v>
          </cell>
          <cell r="B656" t="str">
            <v>OTHER</v>
          </cell>
        </row>
        <row r="657">
          <cell r="A657">
            <v>7086.01</v>
          </cell>
          <cell r="B657" t="str">
            <v>OTHER</v>
          </cell>
        </row>
        <row r="658">
          <cell r="A658">
            <v>7086.01</v>
          </cell>
          <cell r="B658" t="str">
            <v>OTHER</v>
          </cell>
        </row>
        <row r="659">
          <cell r="A659">
            <v>7086.01</v>
          </cell>
          <cell r="B659" t="str">
            <v>OTHER</v>
          </cell>
        </row>
        <row r="660">
          <cell r="A660">
            <v>7086.01</v>
          </cell>
          <cell r="B660" t="str">
            <v>OTHER</v>
          </cell>
        </row>
        <row r="661">
          <cell r="A661">
            <v>7086.01</v>
          </cell>
          <cell r="B661" t="str">
            <v>OTHER</v>
          </cell>
        </row>
        <row r="662">
          <cell r="A662">
            <v>7086.01</v>
          </cell>
          <cell r="B662" t="str">
            <v>OTHER</v>
          </cell>
        </row>
        <row r="663">
          <cell r="A663">
            <v>7086.01</v>
          </cell>
          <cell r="B663" t="str">
            <v>OTHER</v>
          </cell>
        </row>
        <row r="664">
          <cell r="A664">
            <v>7086.01</v>
          </cell>
          <cell r="B664" t="str">
            <v>OTHER</v>
          </cell>
        </row>
        <row r="665">
          <cell r="A665">
            <v>7086.01</v>
          </cell>
          <cell r="B665" t="str">
            <v>OTHER</v>
          </cell>
        </row>
        <row r="666">
          <cell r="A666">
            <v>7086.01</v>
          </cell>
          <cell r="B666" t="str">
            <v>OTHER</v>
          </cell>
        </row>
        <row r="667">
          <cell r="A667">
            <v>7086.01</v>
          </cell>
          <cell r="B667" t="str">
            <v>OTHER</v>
          </cell>
        </row>
        <row r="668">
          <cell r="A668">
            <v>7086.02</v>
          </cell>
          <cell r="B668" t="str">
            <v>OTHER</v>
          </cell>
        </row>
        <row r="669">
          <cell r="A669">
            <v>7086.02</v>
          </cell>
          <cell r="B669" t="str">
            <v>OTHER</v>
          </cell>
        </row>
        <row r="670">
          <cell r="A670">
            <v>7086.02</v>
          </cell>
          <cell r="B670" t="str">
            <v>OTHER</v>
          </cell>
        </row>
        <row r="671">
          <cell r="A671">
            <v>7086.02</v>
          </cell>
          <cell r="B671" t="str">
            <v>OTHER</v>
          </cell>
        </row>
        <row r="672">
          <cell r="A672">
            <v>7086.02</v>
          </cell>
          <cell r="B672" t="str">
            <v>OTHER</v>
          </cell>
        </row>
        <row r="673">
          <cell r="A673">
            <v>7086.02</v>
          </cell>
          <cell r="B673" t="str">
            <v>OTHER</v>
          </cell>
        </row>
        <row r="674">
          <cell r="A674">
            <v>7086.02</v>
          </cell>
          <cell r="B674" t="str">
            <v>OTHER</v>
          </cell>
        </row>
        <row r="675">
          <cell r="A675">
            <v>7086.02</v>
          </cell>
          <cell r="B675" t="str">
            <v>OTHER</v>
          </cell>
        </row>
        <row r="676">
          <cell r="A676">
            <v>7086.02</v>
          </cell>
          <cell r="B676" t="str">
            <v>OTHER</v>
          </cell>
        </row>
        <row r="677">
          <cell r="A677">
            <v>7086.02</v>
          </cell>
          <cell r="B677" t="str">
            <v>OTHER</v>
          </cell>
        </row>
        <row r="678">
          <cell r="A678">
            <v>7086.02</v>
          </cell>
          <cell r="B678" t="str">
            <v>OTHER</v>
          </cell>
        </row>
        <row r="679">
          <cell r="A679">
            <v>7086.02</v>
          </cell>
          <cell r="B679" t="str">
            <v>OTHER</v>
          </cell>
        </row>
        <row r="680">
          <cell r="A680">
            <v>7086.02</v>
          </cell>
          <cell r="B680" t="str">
            <v>OTHER</v>
          </cell>
        </row>
        <row r="681">
          <cell r="A681">
            <v>7086.02</v>
          </cell>
          <cell r="B681" t="str">
            <v>OTHER</v>
          </cell>
        </row>
        <row r="682">
          <cell r="A682">
            <v>7086.02</v>
          </cell>
          <cell r="B682" t="str">
            <v>OTHER</v>
          </cell>
        </row>
        <row r="683">
          <cell r="A683">
            <v>7086.02</v>
          </cell>
          <cell r="B683" t="str">
            <v>OTHER</v>
          </cell>
        </row>
        <row r="684">
          <cell r="A684">
            <v>7086.02</v>
          </cell>
          <cell r="B684" t="str">
            <v>OTHER</v>
          </cell>
        </row>
        <row r="685">
          <cell r="A685">
            <v>7086.02</v>
          </cell>
          <cell r="B685" t="str">
            <v>OTHER</v>
          </cell>
        </row>
        <row r="686">
          <cell r="A686">
            <v>7086.02</v>
          </cell>
          <cell r="B686" t="str">
            <v>OTHER</v>
          </cell>
        </row>
        <row r="687">
          <cell r="A687">
            <v>7086.02</v>
          </cell>
          <cell r="B687" t="str">
            <v>OTHER</v>
          </cell>
        </row>
        <row r="688">
          <cell r="A688">
            <v>7086.02</v>
          </cell>
          <cell r="B688" t="str">
            <v>OTHER</v>
          </cell>
        </row>
        <row r="689">
          <cell r="A689">
            <v>7086.02</v>
          </cell>
          <cell r="B689" t="str">
            <v>OTHER</v>
          </cell>
        </row>
        <row r="690">
          <cell r="A690">
            <v>7086.02</v>
          </cell>
          <cell r="B690" t="str">
            <v>OTHER</v>
          </cell>
        </row>
        <row r="691">
          <cell r="A691">
            <v>7086.02</v>
          </cell>
          <cell r="B691" t="str">
            <v>OTHER</v>
          </cell>
        </row>
        <row r="692">
          <cell r="A692">
            <v>7086.02</v>
          </cell>
          <cell r="B692" t="str">
            <v>OTHER</v>
          </cell>
        </row>
        <row r="693">
          <cell r="A693">
            <v>7086.02</v>
          </cell>
          <cell r="B693" t="str">
            <v>OTHER</v>
          </cell>
        </row>
        <row r="694">
          <cell r="A694">
            <v>7086.03</v>
          </cell>
          <cell r="B694" t="str">
            <v>OTHER</v>
          </cell>
        </row>
        <row r="695">
          <cell r="A695">
            <v>7086.03</v>
          </cell>
          <cell r="B695" t="str">
            <v>OTHER</v>
          </cell>
        </row>
        <row r="696">
          <cell r="A696">
            <v>7086.03</v>
          </cell>
          <cell r="B696" t="str">
            <v>OTHER</v>
          </cell>
        </row>
        <row r="697">
          <cell r="A697">
            <v>7086.03</v>
          </cell>
          <cell r="B697" t="str">
            <v>OTHER</v>
          </cell>
        </row>
        <row r="698">
          <cell r="A698">
            <v>7086.03</v>
          </cell>
          <cell r="B698" t="str">
            <v>OTHER</v>
          </cell>
        </row>
        <row r="699">
          <cell r="A699">
            <v>7086.03</v>
          </cell>
          <cell r="B699" t="str">
            <v>OTHER</v>
          </cell>
        </row>
        <row r="700">
          <cell r="A700">
            <v>7086.03</v>
          </cell>
          <cell r="B700" t="str">
            <v>OTHER</v>
          </cell>
        </row>
        <row r="701">
          <cell r="A701">
            <v>7086.03</v>
          </cell>
          <cell r="B701" t="str">
            <v>OTHER</v>
          </cell>
        </row>
        <row r="702">
          <cell r="A702">
            <v>7086.03</v>
          </cell>
          <cell r="B702" t="str">
            <v>OTHER</v>
          </cell>
        </row>
        <row r="703">
          <cell r="A703">
            <v>7086.03</v>
          </cell>
          <cell r="B703" t="str">
            <v>OTHER</v>
          </cell>
        </row>
        <row r="704">
          <cell r="A704">
            <v>7086.03</v>
          </cell>
          <cell r="B704" t="str">
            <v>OTHER</v>
          </cell>
        </row>
        <row r="705">
          <cell r="A705">
            <v>7086.03</v>
          </cell>
          <cell r="B705" t="str">
            <v>OTHER</v>
          </cell>
        </row>
        <row r="706">
          <cell r="A706">
            <v>7086.03</v>
          </cell>
          <cell r="B706" t="str">
            <v>OTHER</v>
          </cell>
        </row>
        <row r="707">
          <cell r="A707">
            <v>7086.03</v>
          </cell>
          <cell r="B707" t="str">
            <v>OTHER</v>
          </cell>
        </row>
        <row r="708">
          <cell r="A708">
            <v>7086.03</v>
          </cell>
          <cell r="B708" t="str">
            <v>OTHER</v>
          </cell>
        </row>
        <row r="709">
          <cell r="A709">
            <v>7086.04</v>
          </cell>
          <cell r="B709" t="str">
            <v>OTHER</v>
          </cell>
        </row>
        <row r="710">
          <cell r="A710">
            <v>7086.04</v>
          </cell>
          <cell r="B710" t="str">
            <v>OTHER</v>
          </cell>
        </row>
        <row r="711">
          <cell r="A711">
            <v>7086.05</v>
          </cell>
          <cell r="B711" t="str">
            <v>OTHER</v>
          </cell>
        </row>
        <row r="712">
          <cell r="A712">
            <v>7086.05</v>
          </cell>
          <cell r="B712" t="str">
            <v>OTHER</v>
          </cell>
        </row>
        <row r="713">
          <cell r="A713">
            <v>7086.05</v>
          </cell>
          <cell r="B713" t="str">
            <v>OTHER</v>
          </cell>
        </row>
        <row r="714">
          <cell r="A714">
            <v>7086.05</v>
          </cell>
          <cell r="B714" t="str">
            <v>OTHER</v>
          </cell>
        </row>
        <row r="715">
          <cell r="A715">
            <v>7086.05</v>
          </cell>
          <cell r="B715" t="str">
            <v>OTHER</v>
          </cell>
        </row>
        <row r="716">
          <cell r="A716">
            <v>7086.05</v>
          </cell>
          <cell r="B716" t="str">
            <v>OTHER</v>
          </cell>
        </row>
        <row r="717">
          <cell r="A717">
            <v>7086.05</v>
          </cell>
          <cell r="B717" t="str">
            <v>OTHER</v>
          </cell>
        </row>
        <row r="718">
          <cell r="A718">
            <v>7086.05</v>
          </cell>
          <cell r="B718" t="str">
            <v>OTHER</v>
          </cell>
        </row>
        <row r="719">
          <cell r="A719">
            <v>7086.05</v>
          </cell>
          <cell r="B719" t="str">
            <v>OTHER</v>
          </cell>
        </row>
        <row r="720">
          <cell r="A720">
            <v>7086.05</v>
          </cell>
          <cell r="B720" t="str">
            <v>OTHER</v>
          </cell>
        </row>
        <row r="721">
          <cell r="A721">
            <v>7086.05</v>
          </cell>
          <cell r="B721" t="str">
            <v>OTHER</v>
          </cell>
        </row>
        <row r="722">
          <cell r="A722">
            <v>7086.06</v>
          </cell>
          <cell r="B722" t="str">
            <v>OTHER</v>
          </cell>
        </row>
        <row r="723">
          <cell r="A723">
            <v>7086.06</v>
          </cell>
          <cell r="B723" t="str">
            <v>OTHER</v>
          </cell>
        </row>
        <row r="724">
          <cell r="A724">
            <v>7086.07</v>
          </cell>
          <cell r="B724" t="str">
            <v>OTHER</v>
          </cell>
        </row>
        <row r="725">
          <cell r="A725">
            <v>7086.08</v>
          </cell>
          <cell r="B725" t="str">
            <v>OTHER</v>
          </cell>
        </row>
        <row r="726">
          <cell r="A726">
            <v>7086.08</v>
          </cell>
          <cell r="B726" t="str">
            <v>OTHER</v>
          </cell>
        </row>
        <row r="727">
          <cell r="A727">
            <v>7086.09</v>
          </cell>
          <cell r="B727" t="str">
            <v>OTHER</v>
          </cell>
        </row>
        <row r="728">
          <cell r="A728">
            <v>7086.09</v>
          </cell>
          <cell r="B728" t="str">
            <v>OTHER</v>
          </cell>
        </row>
        <row r="729">
          <cell r="A729">
            <v>7086.09</v>
          </cell>
          <cell r="B729" t="str">
            <v>OTHER</v>
          </cell>
        </row>
        <row r="730">
          <cell r="A730">
            <v>7086.09</v>
          </cell>
          <cell r="B730" t="str">
            <v>OTHER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F593C-355A-4CC4-B7D9-713DF0C2D79D}">
  <sheetPr codeName="Sheet6"/>
  <dimension ref="G5:N25"/>
  <sheetViews>
    <sheetView showGridLines="0" topLeftCell="A4" zoomScaleNormal="100" workbookViewId="0">
      <selection activeCell="O11" sqref="O11"/>
    </sheetView>
  </sheetViews>
  <sheetFormatPr defaultRowHeight="15"/>
  <cols>
    <col min="1" max="5" width="9.140625" style="170"/>
    <col min="6" max="6" width="6.140625" style="170" customWidth="1"/>
    <col min="7" max="7" width="13.7109375" style="170" customWidth="1"/>
    <col min="8" max="8" width="9.140625" style="170" customWidth="1"/>
    <col min="9" max="10" width="9.140625" style="170"/>
    <col min="11" max="11" width="12.85546875" style="170" customWidth="1"/>
    <col min="12" max="16384" width="9.140625" style="170"/>
  </cols>
  <sheetData>
    <row r="5" spans="7:13" ht="15.75" thickBot="1"/>
    <row r="6" spans="7:13">
      <c r="G6" s="183"/>
      <c r="H6" s="184"/>
      <c r="I6" s="184"/>
      <c r="J6" s="184"/>
      <c r="K6" s="185"/>
    </row>
    <row r="7" spans="7:13">
      <c r="G7" s="186"/>
      <c r="H7" s="187"/>
      <c r="I7" s="187"/>
      <c r="J7" s="187"/>
      <c r="K7" s="188"/>
    </row>
    <row r="8" spans="7:13">
      <c r="G8" s="186"/>
      <c r="H8" s="187"/>
      <c r="I8" s="187"/>
      <c r="J8" s="187"/>
      <c r="K8" s="188"/>
    </row>
    <row r="9" spans="7:13">
      <c r="G9" s="186"/>
      <c r="H9" s="187"/>
      <c r="I9" s="187"/>
      <c r="J9" s="187"/>
      <c r="K9" s="188"/>
      <c r="L9" s="171"/>
      <c r="M9" s="171"/>
    </row>
    <row r="10" spans="7:13" ht="15.75" thickBot="1">
      <c r="G10" s="189"/>
      <c r="H10" s="190"/>
      <c r="I10" s="190"/>
      <c r="J10" s="190"/>
      <c r="K10" s="191"/>
      <c r="L10" s="171"/>
      <c r="M10" s="171"/>
    </row>
    <row r="11" spans="7:13" ht="35.25" customHeight="1">
      <c r="G11" s="180" t="s">
        <v>1226</v>
      </c>
      <c r="H11" s="181"/>
      <c r="I11" s="181"/>
      <c r="J11" s="181"/>
      <c r="K11" s="182"/>
      <c r="L11" s="171"/>
      <c r="M11" s="171"/>
    </row>
    <row r="12" spans="7:13" ht="18" customHeight="1">
      <c r="G12" s="172"/>
      <c r="H12" s="173"/>
      <c r="I12" s="173"/>
      <c r="J12" s="173"/>
      <c r="K12" s="174"/>
      <c r="L12" s="171"/>
      <c r="M12" s="171"/>
    </row>
    <row r="13" spans="7:13" ht="28.5" customHeight="1">
      <c r="G13" s="194" t="s">
        <v>1222</v>
      </c>
      <c r="H13" s="175"/>
      <c r="I13" s="175"/>
      <c r="J13" s="175"/>
      <c r="K13" s="176"/>
      <c r="L13" s="171"/>
      <c r="M13" s="171"/>
    </row>
    <row r="14" spans="7:13">
      <c r="G14" s="192"/>
      <c r="H14" s="175"/>
      <c r="I14" s="175"/>
      <c r="J14" s="175"/>
      <c r="K14" s="176"/>
      <c r="L14" s="171"/>
      <c r="M14" s="171"/>
    </row>
    <row r="15" spans="7:13">
      <c r="G15" s="193" t="s">
        <v>1223</v>
      </c>
      <c r="H15" s="175"/>
      <c r="I15" s="175"/>
      <c r="J15" s="175"/>
      <c r="K15" s="176"/>
      <c r="L15" s="171"/>
      <c r="M15" s="171"/>
    </row>
    <row r="16" spans="7:13">
      <c r="G16" s="193"/>
      <c r="H16" s="175"/>
      <c r="I16" s="175"/>
      <c r="J16" s="175"/>
      <c r="K16" s="176"/>
      <c r="L16" s="171"/>
      <c r="M16" s="171"/>
    </row>
    <row r="17" spans="7:14" ht="7.5" customHeight="1">
      <c r="G17" s="172"/>
      <c r="H17" s="175"/>
      <c r="I17" s="175"/>
      <c r="J17" s="175"/>
      <c r="K17" s="176"/>
      <c r="L17" s="171"/>
      <c r="M17" s="171"/>
      <c r="N17" s="171"/>
    </row>
    <row r="18" spans="7:14">
      <c r="G18" s="172"/>
      <c r="H18" s="175"/>
      <c r="I18" s="175"/>
      <c r="J18" s="175"/>
      <c r="K18" s="176"/>
      <c r="L18" s="171"/>
      <c r="M18" s="171"/>
      <c r="N18" s="171"/>
    </row>
    <row r="19" spans="7:14">
      <c r="G19" s="172"/>
      <c r="H19" s="175"/>
      <c r="I19" s="175"/>
      <c r="J19" s="175"/>
      <c r="K19" s="176"/>
      <c r="L19" s="171"/>
      <c r="M19" s="171"/>
      <c r="N19" s="171"/>
    </row>
    <row r="20" spans="7:14" ht="15.75" thickBot="1">
      <c r="G20" s="177"/>
      <c r="H20" s="178"/>
      <c r="I20" s="178"/>
      <c r="J20" s="178"/>
      <c r="K20" s="179"/>
      <c r="L20" s="171"/>
      <c r="M20" s="171"/>
      <c r="N20" s="171"/>
    </row>
    <row r="21" spans="7:14">
      <c r="G21" s="171"/>
      <c r="H21" s="171"/>
      <c r="I21" s="171"/>
      <c r="J21" s="171"/>
      <c r="K21" s="171"/>
      <c r="L21" s="171"/>
      <c r="M21" s="171"/>
      <c r="N21" s="171"/>
    </row>
    <row r="22" spans="7:14">
      <c r="G22" s="171"/>
      <c r="H22" s="171"/>
      <c r="I22" s="171"/>
      <c r="J22" s="171"/>
      <c r="K22" s="171"/>
      <c r="L22" s="171"/>
      <c r="M22" s="171"/>
      <c r="N22" s="171"/>
    </row>
    <row r="23" spans="7:14">
      <c r="G23" s="171"/>
      <c r="H23" s="171"/>
      <c r="I23" s="171"/>
      <c r="J23" s="171"/>
      <c r="K23" s="171"/>
      <c r="L23" s="171"/>
      <c r="M23" s="171"/>
      <c r="N23" s="171"/>
    </row>
    <row r="24" spans="7:14">
      <c r="G24" s="171"/>
      <c r="H24" s="171"/>
      <c r="I24" s="171"/>
      <c r="J24" s="171"/>
      <c r="K24" s="171"/>
      <c r="L24" s="171"/>
      <c r="M24" s="171"/>
    </row>
    <row r="25" spans="7:14">
      <c r="G25" s="171"/>
      <c r="H25" s="171"/>
      <c r="I25" s="171"/>
      <c r="J25" s="171"/>
      <c r="K25" s="171"/>
      <c r="L25" s="171"/>
      <c r="M25" s="171"/>
    </row>
  </sheetData>
  <mergeCells count="3">
    <mergeCell ref="G15:G16"/>
    <mergeCell ref="G11:K11"/>
    <mergeCell ref="G6:K1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DateTo">
          <controlPr defaultSize="0" autoLine="0" autoPict="0" r:id="rId5">
            <anchor moveWithCells="1">
              <from>
                <xdr:col>7</xdr:col>
                <xdr:colOff>9525</xdr:colOff>
                <xdr:row>14</xdr:row>
                <xdr:rowOff>0</xdr:rowOff>
              </from>
              <to>
                <xdr:col>10</xdr:col>
                <xdr:colOff>514350</xdr:colOff>
                <xdr:row>16</xdr:row>
                <xdr:rowOff>9525</xdr:rowOff>
              </to>
            </anchor>
          </controlPr>
        </control>
      </mc:Choice>
      <mc:Fallback>
        <control shapeId="11270" r:id="rId4" name="DateTo"/>
      </mc:Fallback>
    </mc:AlternateContent>
    <mc:AlternateContent xmlns:mc="http://schemas.openxmlformats.org/markup-compatibility/2006">
      <mc:Choice Requires="x14">
        <control shapeId="11269" r:id="rId6" name="DateFrom">
          <controlPr defaultSize="0" autoLine="0" autoPict="0" r:id="rId7">
            <anchor moveWithCells="1">
              <from>
                <xdr:col>7</xdr:col>
                <xdr:colOff>9525</xdr:colOff>
                <xdr:row>11</xdr:row>
                <xdr:rowOff>228600</xdr:rowOff>
              </from>
              <to>
                <xdr:col>10</xdr:col>
                <xdr:colOff>542925</xdr:colOff>
                <xdr:row>13</xdr:row>
                <xdr:rowOff>28575</xdr:rowOff>
              </to>
            </anchor>
          </controlPr>
        </control>
      </mc:Choice>
      <mc:Fallback>
        <control shapeId="11269" r:id="rId6" name="DateFrom"/>
      </mc:Fallback>
    </mc:AlternateContent>
    <mc:AlternateContent xmlns:mc="http://schemas.openxmlformats.org/markup-compatibility/2006">
      <mc:Choice Requires="x14">
        <control shapeId="11271" r:id="rId8" name="Button 7">
          <controlPr defaultSize="0" print="0" autoFill="0" autoPict="0" macro="[0]!CheckConfirm">
            <anchor moveWithCells="1" sizeWithCells="1">
              <from>
                <xdr:col>6</xdr:col>
                <xdr:colOff>28575</xdr:colOff>
                <xdr:row>17</xdr:row>
                <xdr:rowOff>123825</xdr:rowOff>
              </from>
              <to>
                <xdr:col>8</xdr:col>
                <xdr:colOff>314325</xdr:colOff>
                <xdr:row>19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2" r:id="rId9" name="Button 8">
          <controlPr defaultSize="0" print="0" autoFill="0" autoPict="0" macro="[0]!ResetTextForm">
            <anchor moveWithCells="1" sizeWithCells="1">
              <from>
                <xdr:col>8</xdr:col>
                <xdr:colOff>314325</xdr:colOff>
                <xdr:row>17</xdr:row>
                <xdr:rowOff>123825</xdr:rowOff>
              </from>
              <to>
                <xdr:col>10</xdr:col>
                <xdr:colOff>838200</xdr:colOff>
                <xdr:row>19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A01DB-F4BD-4DDD-926C-544E05C3E695}">
  <sheetPr codeName="Sheet8"/>
  <dimension ref="A1:W185"/>
  <sheetViews>
    <sheetView workbookViewId="0">
      <selection activeCell="D7" sqref="D7"/>
    </sheetView>
  </sheetViews>
  <sheetFormatPr defaultRowHeight="15"/>
  <cols>
    <col min="1" max="1" width="15" style="163" bestFit="1" customWidth="1"/>
    <col min="2" max="2" width="21.5703125" style="163" bestFit="1" customWidth="1"/>
    <col min="3" max="3" width="19.140625" style="163" bestFit="1" customWidth="1"/>
    <col min="4" max="4" width="29.140625" style="163" bestFit="1" customWidth="1"/>
    <col min="5" max="5" width="25.85546875" style="163" bestFit="1" customWidth="1"/>
    <col min="6" max="6" width="24.5703125" style="163" bestFit="1" customWidth="1"/>
    <col min="7" max="7" width="20.140625" style="163" bestFit="1" customWidth="1"/>
    <col min="8" max="8" width="14.85546875" style="163" bestFit="1" customWidth="1"/>
    <col min="9" max="9" width="19.7109375" style="163" bestFit="1" customWidth="1"/>
    <col min="10" max="10" width="20.140625" style="163" bestFit="1" customWidth="1"/>
    <col min="11" max="11" width="31.28515625" style="163" bestFit="1" customWidth="1"/>
    <col min="12" max="12" width="18.85546875" style="163" bestFit="1" customWidth="1"/>
    <col min="13" max="13" width="13.5703125" style="163" bestFit="1" customWidth="1"/>
    <col min="14" max="14" width="12.7109375" style="163" bestFit="1" customWidth="1"/>
    <col min="15" max="15" width="18.7109375" style="163" bestFit="1" customWidth="1"/>
    <col min="16" max="16" width="17.7109375" style="163" bestFit="1" customWidth="1"/>
    <col min="17" max="17" width="12.7109375" style="163" bestFit="1" customWidth="1"/>
    <col min="18" max="18" width="14.5703125" style="163" bestFit="1" customWidth="1"/>
    <col min="19" max="21" width="9.140625" style="163"/>
    <col min="22" max="22" width="12.140625" style="163" bestFit="1" customWidth="1"/>
    <col min="23" max="23" width="14.28515625" style="163" bestFit="1" customWidth="1"/>
    <col min="24" max="16384" width="9.140625" style="163"/>
  </cols>
  <sheetData>
    <row r="1" spans="1:23" s="169" customFormat="1">
      <c r="A1" s="167" t="s">
        <v>1166</v>
      </c>
      <c r="B1" s="167" t="s">
        <v>1167</v>
      </c>
      <c r="C1" s="167" t="s">
        <v>1168</v>
      </c>
      <c r="D1" s="167" t="s">
        <v>1169</v>
      </c>
      <c r="E1" s="167" t="s">
        <v>1170</v>
      </c>
      <c r="F1" s="167" t="s">
        <v>1171</v>
      </c>
      <c r="G1" s="168" t="s">
        <v>1172</v>
      </c>
      <c r="H1" s="168" t="s">
        <v>1224</v>
      </c>
      <c r="I1" s="168" t="s">
        <v>1174</v>
      </c>
      <c r="J1" s="168" t="s">
        <v>1175</v>
      </c>
      <c r="K1" s="168" t="s">
        <v>1176</v>
      </c>
      <c r="L1" s="168" t="s">
        <v>1177</v>
      </c>
      <c r="M1" s="168" t="s">
        <v>1197</v>
      </c>
      <c r="N1" s="168" t="s">
        <v>1198</v>
      </c>
      <c r="O1" s="168" t="s">
        <v>1199</v>
      </c>
      <c r="P1" s="168" t="s">
        <v>1200</v>
      </c>
      <c r="Q1" s="168" t="s">
        <v>1201</v>
      </c>
      <c r="R1" s="168" t="s">
        <v>1196</v>
      </c>
      <c r="S1" s="169" t="s">
        <v>1225</v>
      </c>
      <c r="T1" s="169" t="s">
        <v>1157</v>
      </c>
      <c r="U1" s="169" t="s">
        <v>1159</v>
      </c>
      <c r="V1" s="166" t="s">
        <v>1161</v>
      </c>
      <c r="W1" s="166" t="s">
        <v>1163</v>
      </c>
    </row>
    <row r="2" spans="1:23">
      <c r="A2" s="162">
        <v>6113</v>
      </c>
      <c r="B2" s="162">
        <v>60</v>
      </c>
      <c r="C2" s="162">
        <v>6112</v>
      </c>
      <c r="D2" s="163">
        <v>6272.03</v>
      </c>
      <c r="E2" s="162">
        <v>628</v>
      </c>
      <c r="F2" s="162">
        <v>64</v>
      </c>
      <c r="G2" s="163">
        <v>6114</v>
      </c>
      <c r="H2" s="162" t="s">
        <v>1224</v>
      </c>
      <c r="I2" s="163">
        <v>612</v>
      </c>
      <c r="J2" s="163">
        <v>6822.02</v>
      </c>
      <c r="K2" s="163">
        <v>614</v>
      </c>
      <c r="L2" s="162">
        <v>622</v>
      </c>
      <c r="M2" s="162">
        <v>6063</v>
      </c>
      <c r="N2" s="162">
        <v>6064</v>
      </c>
      <c r="O2" s="163">
        <v>615</v>
      </c>
      <c r="P2" s="163">
        <v>625</v>
      </c>
      <c r="Q2" s="162">
        <v>627</v>
      </c>
      <c r="R2" s="163">
        <v>6482</v>
      </c>
      <c r="S2" s="164">
        <v>7082.01</v>
      </c>
      <c r="T2" s="164">
        <v>7083.01</v>
      </c>
      <c r="U2" s="164">
        <v>7081.01</v>
      </c>
      <c r="V2" s="164">
        <v>7086.01</v>
      </c>
      <c r="W2" s="164">
        <v>65</v>
      </c>
    </row>
    <row r="3" spans="1:23">
      <c r="A3" s="162">
        <v>6113.01</v>
      </c>
      <c r="B3" s="162">
        <v>601</v>
      </c>
      <c r="C3" s="162">
        <v>6112.01</v>
      </c>
      <c r="E3" s="162">
        <v>6281</v>
      </c>
      <c r="F3" s="162">
        <v>641</v>
      </c>
      <c r="G3" s="163">
        <v>6114.01</v>
      </c>
      <c r="H3" s="162" t="s">
        <v>1224</v>
      </c>
      <c r="I3" s="163">
        <v>6121</v>
      </c>
      <c r="J3" s="163">
        <v>6823</v>
      </c>
      <c r="K3" s="163">
        <v>6141</v>
      </c>
      <c r="L3" s="162">
        <v>6221</v>
      </c>
      <c r="M3" s="162">
        <v>6063.01</v>
      </c>
      <c r="N3" s="162">
        <v>6064.01</v>
      </c>
      <c r="O3" s="163">
        <v>6151</v>
      </c>
      <c r="P3" s="163">
        <v>6251</v>
      </c>
      <c r="Q3" s="162">
        <v>6271</v>
      </c>
      <c r="R3" s="163">
        <v>6482.01</v>
      </c>
      <c r="S3" s="164">
        <v>7082.02</v>
      </c>
      <c r="T3" s="164">
        <v>7083.02</v>
      </c>
      <c r="U3" s="164">
        <v>7081.02</v>
      </c>
      <c r="V3" s="164">
        <v>7086.02</v>
      </c>
      <c r="W3" s="164">
        <v>651</v>
      </c>
    </row>
    <row r="4" spans="1:23">
      <c r="A4" s="162">
        <v>6113.02</v>
      </c>
      <c r="B4" s="162">
        <v>6011</v>
      </c>
      <c r="C4" s="162">
        <v>6112.02</v>
      </c>
      <c r="E4" s="162">
        <v>6281.01</v>
      </c>
      <c r="F4" s="162">
        <v>6411</v>
      </c>
      <c r="G4" s="163">
        <v>6114.02</v>
      </c>
      <c r="H4" s="162">
        <v>6061.02</v>
      </c>
      <c r="I4" s="163">
        <v>6121.01</v>
      </c>
      <c r="J4" s="163">
        <v>6823.02</v>
      </c>
      <c r="K4" s="163">
        <v>6141.01</v>
      </c>
      <c r="L4" s="162">
        <v>6221.01</v>
      </c>
      <c r="M4" s="162">
        <v>6063.02</v>
      </c>
      <c r="N4" s="162">
        <v>6064.02</v>
      </c>
      <c r="O4" s="163">
        <v>6151.01</v>
      </c>
      <c r="P4" s="163">
        <v>6251.01</v>
      </c>
      <c r="Q4" s="162">
        <v>6271.03</v>
      </c>
      <c r="R4" s="163">
        <v>6483</v>
      </c>
      <c r="S4" s="164">
        <v>7082.03</v>
      </c>
      <c r="T4" s="164">
        <v>7083.03</v>
      </c>
      <c r="U4" s="164">
        <v>7081.03</v>
      </c>
      <c r="V4" s="164">
        <v>7086.03</v>
      </c>
      <c r="W4" s="164">
        <v>6511</v>
      </c>
    </row>
    <row r="5" spans="1:23">
      <c r="A5" s="162">
        <v>6113.03</v>
      </c>
      <c r="B5" s="162">
        <v>602</v>
      </c>
      <c r="C5" s="162">
        <v>6112.03</v>
      </c>
      <c r="E5" s="162">
        <v>6281.02</v>
      </c>
      <c r="F5" s="162">
        <v>6411.01</v>
      </c>
      <c r="G5" s="163">
        <v>6114.03</v>
      </c>
      <c r="H5" s="162">
        <v>6061.03</v>
      </c>
      <c r="I5" s="163">
        <v>6121.02</v>
      </c>
      <c r="J5" s="163">
        <v>6824</v>
      </c>
      <c r="K5" s="163">
        <v>6141.02</v>
      </c>
      <c r="L5" s="162">
        <v>6221.02</v>
      </c>
      <c r="M5" s="162">
        <v>6063.03</v>
      </c>
      <c r="N5" s="162">
        <v>6064.03</v>
      </c>
      <c r="O5" s="163">
        <v>6151.02</v>
      </c>
      <c r="P5" s="163">
        <v>6251.02</v>
      </c>
      <c r="Q5" s="162">
        <v>6272</v>
      </c>
      <c r="R5" s="163">
        <v>6483.01</v>
      </c>
      <c r="S5" s="164">
        <v>7082.04</v>
      </c>
      <c r="T5" s="164">
        <v>7083.04</v>
      </c>
      <c r="U5" s="164">
        <v>7081.04</v>
      </c>
      <c r="V5" s="164">
        <v>7086.04</v>
      </c>
      <c r="W5" s="164">
        <v>652</v>
      </c>
    </row>
    <row r="6" spans="1:23">
      <c r="A6" s="162">
        <v>63</v>
      </c>
      <c r="B6" s="162">
        <v>6021</v>
      </c>
      <c r="E6" s="162">
        <v>6281.03</v>
      </c>
      <c r="F6" s="162">
        <v>6411.02</v>
      </c>
      <c r="G6" s="163">
        <v>6115</v>
      </c>
      <c r="H6" s="162">
        <v>6062</v>
      </c>
      <c r="I6" s="163">
        <v>6121.03</v>
      </c>
      <c r="J6" s="163">
        <v>6824.02</v>
      </c>
      <c r="K6" s="163">
        <v>6141.03</v>
      </c>
      <c r="L6" s="162">
        <v>6221.03</v>
      </c>
      <c r="O6" s="163">
        <v>6151.03</v>
      </c>
      <c r="P6" s="163">
        <v>6251.03</v>
      </c>
      <c r="R6" s="163">
        <v>6484</v>
      </c>
      <c r="S6" s="164">
        <v>7082.05</v>
      </c>
      <c r="T6" s="164">
        <v>7083.05</v>
      </c>
      <c r="U6" s="164">
        <v>7081.05</v>
      </c>
      <c r="V6" s="164">
        <v>7086.05</v>
      </c>
      <c r="W6" s="164">
        <v>6521</v>
      </c>
    </row>
    <row r="7" spans="1:23">
      <c r="A7" s="162">
        <v>631</v>
      </c>
      <c r="B7" s="162">
        <v>603</v>
      </c>
      <c r="E7" s="162">
        <v>629</v>
      </c>
      <c r="F7" s="162">
        <v>6411.03</v>
      </c>
      <c r="G7" s="163">
        <v>6115.01</v>
      </c>
      <c r="H7" s="162">
        <v>6062.01</v>
      </c>
      <c r="I7" s="163">
        <v>6122</v>
      </c>
      <c r="J7" s="163">
        <v>6828.01</v>
      </c>
      <c r="K7" s="163">
        <v>6142</v>
      </c>
      <c r="O7" s="163">
        <v>6152</v>
      </c>
      <c r="R7" s="163">
        <v>6484.01</v>
      </c>
      <c r="S7" s="164">
        <v>7082.06</v>
      </c>
      <c r="T7" s="164">
        <v>7083.06</v>
      </c>
      <c r="U7" s="164">
        <v>7081.06</v>
      </c>
      <c r="V7" s="164">
        <v>7086.06</v>
      </c>
      <c r="W7" s="164">
        <v>653</v>
      </c>
    </row>
    <row r="8" spans="1:23">
      <c r="A8" s="162">
        <v>6311</v>
      </c>
      <c r="B8" s="162">
        <v>6031</v>
      </c>
      <c r="E8" s="162">
        <v>6291</v>
      </c>
      <c r="F8" s="162">
        <v>642</v>
      </c>
      <c r="G8" s="163">
        <v>6115.02</v>
      </c>
      <c r="H8" s="162">
        <v>6062.02</v>
      </c>
      <c r="I8" s="163">
        <v>6122.01</v>
      </c>
      <c r="J8" s="163">
        <v>6828.02</v>
      </c>
      <c r="K8" s="163">
        <v>6142.01</v>
      </c>
      <c r="O8" s="163">
        <v>6152.01</v>
      </c>
      <c r="R8" s="163">
        <v>6485</v>
      </c>
      <c r="S8" s="164">
        <v>7082.07</v>
      </c>
      <c r="T8" s="164">
        <v>7083.07</v>
      </c>
      <c r="U8" s="164">
        <v>7081.07</v>
      </c>
      <c r="V8" s="164">
        <v>7086.07</v>
      </c>
      <c r="W8" s="164">
        <v>6531</v>
      </c>
    </row>
    <row r="9" spans="1:23">
      <c r="A9" s="162">
        <v>6311.01</v>
      </c>
      <c r="B9" s="162">
        <v>604</v>
      </c>
      <c r="E9" s="162">
        <v>6291.01</v>
      </c>
      <c r="F9" s="162">
        <v>6421</v>
      </c>
      <c r="G9" s="163">
        <v>6115.03</v>
      </c>
      <c r="H9" s="162">
        <v>6062.03</v>
      </c>
      <c r="I9" s="163">
        <v>6122.02</v>
      </c>
      <c r="J9" s="163">
        <v>6828.03</v>
      </c>
      <c r="K9" s="163">
        <v>6142.02</v>
      </c>
      <c r="O9" s="163">
        <v>6152.02</v>
      </c>
      <c r="R9" s="163">
        <v>6485.01</v>
      </c>
      <c r="S9" s="164">
        <v>7082.08</v>
      </c>
      <c r="T9" s="164">
        <v>7083.08</v>
      </c>
      <c r="U9" s="164"/>
      <c r="V9" s="164">
        <v>7086.08</v>
      </c>
      <c r="W9" s="164">
        <v>6531.03</v>
      </c>
    </row>
    <row r="10" spans="1:23">
      <c r="A10" s="162">
        <v>6311.02</v>
      </c>
      <c r="B10" s="162">
        <v>6041</v>
      </c>
      <c r="E10" s="162">
        <v>6291.02</v>
      </c>
      <c r="F10" s="162">
        <v>6421.03</v>
      </c>
      <c r="H10" s="162">
        <v>6232</v>
      </c>
      <c r="I10" s="163">
        <v>6122.03</v>
      </c>
      <c r="J10" s="163">
        <v>683</v>
      </c>
      <c r="K10" s="163">
        <v>6142.03</v>
      </c>
      <c r="O10" s="163">
        <v>6152.03</v>
      </c>
      <c r="R10" s="163">
        <v>6486</v>
      </c>
      <c r="S10" s="164">
        <v>7082.09</v>
      </c>
      <c r="V10" s="165">
        <v>7086.09</v>
      </c>
      <c r="W10" s="164">
        <v>654</v>
      </c>
    </row>
    <row r="11" spans="1:23">
      <c r="A11" s="162">
        <v>6311.03</v>
      </c>
      <c r="B11" s="162">
        <v>605</v>
      </c>
      <c r="E11" s="162">
        <v>6291.03</v>
      </c>
      <c r="F11" s="162">
        <v>643</v>
      </c>
      <c r="H11" s="162">
        <v>6232.01</v>
      </c>
      <c r="I11" s="163">
        <v>6123</v>
      </c>
      <c r="J11" s="163">
        <v>6831</v>
      </c>
      <c r="K11" s="163">
        <v>6143</v>
      </c>
      <c r="O11" s="163">
        <v>6153</v>
      </c>
      <c r="R11" s="163">
        <v>6486.01</v>
      </c>
      <c r="S11" s="164">
        <v>7082.1</v>
      </c>
      <c r="W11" s="164">
        <v>6541</v>
      </c>
    </row>
    <row r="12" spans="1:23">
      <c r="A12" s="162">
        <v>634</v>
      </c>
      <c r="B12" s="162">
        <v>6051</v>
      </c>
      <c r="F12" s="162">
        <v>6431</v>
      </c>
      <c r="H12" s="162">
        <v>6232.02</v>
      </c>
      <c r="I12" s="163">
        <v>6123.01</v>
      </c>
      <c r="J12" s="162"/>
      <c r="K12" s="163">
        <v>6143.01</v>
      </c>
      <c r="O12" s="163">
        <v>6153.01</v>
      </c>
      <c r="R12" s="163">
        <v>6831.01</v>
      </c>
      <c r="S12" s="164">
        <v>7082.11</v>
      </c>
      <c r="W12" s="164">
        <v>655</v>
      </c>
    </row>
    <row r="13" spans="1:23">
      <c r="A13" s="162">
        <v>6341</v>
      </c>
      <c r="B13" s="162">
        <v>606</v>
      </c>
      <c r="F13" s="162">
        <v>6431.03</v>
      </c>
      <c r="H13" s="162">
        <v>6232.03</v>
      </c>
      <c r="I13" s="163">
        <v>6123.02</v>
      </c>
      <c r="J13" s="162"/>
      <c r="K13" s="163">
        <v>6143.02</v>
      </c>
      <c r="O13" s="163">
        <v>6153.02</v>
      </c>
      <c r="R13" s="163">
        <v>6831.02</v>
      </c>
      <c r="S13" s="164">
        <v>7082.12</v>
      </c>
      <c r="W13" s="164">
        <v>6551</v>
      </c>
    </row>
    <row r="14" spans="1:23">
      <c r="A14" s="162">
        <v>6341.01</v>
      </c>
      <c r="B14" s="162">
        <v>6065</v>
      </c>
      <c r="F14" s="162">
        <v>644</v>
      </c>
      <c r="H14" s="162">
        <v>6233</v>
      </c>
      <c r="I14" s="163">
        <v>6123.03</v>
      </c>
      <c r="J14" s="162"/>
      <c r="K14" s="163">
        <v>6143.03</v>
      </c>
      <c r="O14" s="163">
        <v>6153.03</v>
      </c>
      <c r="R14" s="163">
        <v>6831.03</v>
      </c>
      <c r="S14" s="164">
        <v>7082.13</v>
      </c>
      <c r="W14" s="164">
        <v>656</v>
      </c>
    </row>
    <row r="15" spans="1:23">
      <c r="A15" s="162">
        <v>6341.02</v>
      </c>
      <c r="B15" s="162">
        <v>6065.01</v>
      </c>
      <c r="F15" s="162">
        <v>6441</v>
      </c>
      <c r="H15" s="162">
        <v>6233.01</v>
      </c>
      <c r="I15" s="163">
        <v>6125</v>
      </c>
      <c r="J15" s="162"/>
      <c r="K15" s="163">
        <v>6144</v>
      </c>
      <c r="O15" s="163">
        <v>616</v>
      </c>
      <c r="R15" s="163">
        <v>684</v>
      </c>
      <c r="S15" s="164">
        <v>7082.14</v>
      </c>
      <c r="W15" s="164">
        <v>6561</v>
      </c>
    </row>
    <row r="16" spans="1:23">
      <c r="A16" s="162">
        <v>6341.03</v>
      </c>
      <c r="B16" s="162">
        <v>6065.02</v>
      </c>
      <c r="F16" s="162">
        <v>6441.03</v>
      </c>
      <c r="H16" s="162">
        <v>6233.02</v>
      </c>
      <c r="I16" s="163">
        <v>6125.01</v>
      </c>
      <c r="J16" s="162"/>
      <c r="K16" s="163">
        <v>6144.01</v>
      </c>
      <c r="R16" s="163">
        <v>6841</v>
      </c>
      <c r="S16" s="164">
        <v>7082.15</v>
      </c>
      <c r="W16" s="164">
        <v>6561.01</v>
      </c>
    </row>
    <row r="17" spans="1:23">
      <c r="A17" s="162">
        <v>635</v>
      </c>
      <c r="B17" s="162">
        <v>6065.03</v>
      </c>
      <c r="F17" s="162">
        <v>647</v>
      </c>
      <c r="H17" s="162">
        <v>6233.03</v>
      </c>
      <c r="I17" s="163">
        <v>6161</v>
      </c>
      <c r="J17" s="162"/>
      <c r="K17" s="163">
        <v>6144.02</v>
      </c>
      <c r="R17" s="163">
        <v>685</v>
      </c>
      <c r="S17" s="164">
        <v>7082.16</v>
      </c>
      <c r="W17" s="164">
        <v>6561.02</v>
      </c>
    </row>
    <row r="18" spans="1:23">
      <c r="A18" s="162">
        <v>6351</v>
      </c>
      <c r="B18" s="162">
        <v>6066</v>
      </c>
      <c r="F18" s="162">
        <v>6471</v>
      </c>
      <c r="I18" s="163">
        <v>6161.01</v>
      </c>
      <c r="J18" s="162"/>
      <c r="K18" s="163">
        <v>6144.03</v>
      </c>
      <c r="R18" s="163">
        <v>6851</v>
      </c>
      <c r="S18" s="164">
        <v>7082.17</v>
      </c>
      <c r="W18" s="164">
        <v>6561.03</v>
      </c>
    </row>
    <row r="19" spans="1:23">
      <c r="A19" s="162">
        <v>6351.01</v>
      </c>
      <c r="B19" s="162">
        <v>6066.01</v>
      </c>
      <c r="F19" s="162">
        <v>6471.01</v>
      </c>
      <c r="J19" s="162"/>
      <c r="R19" s="163">
        <v>6851.01</v>
      </c>
      <c r="S19" s="164">
        <v>7082.18</v>
      </c>
      <c r="W19" s="164">
        <v>6562</v>
      </c>
    </row>
    <row r="20" spans="1:23">
      <c r="A20" s="162">
        <v>6351.02</v>
      </c>
      <c r="B20" s="162">
        <v>6066.02</v>
      </c>
      <c r="F20" s="162">
        <v>6471.02</v>
      </c>
      <c r="J20" s="162"/>
      <c r="R20" s="163">
        <v>686</v>
      </c>
      <c r="S20" s="164">
        <v>7082.19</v>
      </c>
      <c r="W20" s="164">
        <v>6562.01</v>
      </c>
    </row>
    <row r="21" spans="1:23">
      <c r="A21" s="162">
        <v>6351.03</v>
      </c>
      <c r="B21" s="162">
        <v>6066.03</v>
      </c>
      <c r="F21" s="162">
        <v>6471.03</v>
      </c>
      <c r="J21" s="162"/>
      <c r="R21" s="163">
        <v>6861</v>
      </c>
      <c r="S21" s="164">
        <v>7082.2</v>
      </c>
      <c r="W21" s="164">
        <v>6562.02</v>
      </c>
    </row>
    <row r="22" spans="1:23">
      <c r="B22" s="162">
        <v>607</v>
      </c>
      <c r="F22" s="162">
        <v>648</v>
      </c>
      <c r="J22" s="162"/>
      <c r="R22" s="163">
        <v>687</v>
      </c>
      <c r="S22" s="164">
        <v>7082.21</v>
      </c>
      <c r="W22" s="164">
        <v>6562.03</v>
      </c>
    </row>
    <row r="23" spans="1:23">
      <c r="B23" s="162">
        <v>6070</v>
      </c>
      <c r="F23" s="162">
        <v>6481</v>
      </c>
      <c r="J23" s="162"/>
      <c r="R23" s="163">
        <v>6871</v>
      </c>
      <c r="S23" s="164">
        <v>7082.22</v>
      </c>
      <c r="W23" s="164">
        <v>6563</v>
      </c>
    </row>
    <row r="24" spans="1:23">
      <c r="B24" s="162">
        <v>609</v>
      </c>
      <c r="F24" s="162">
        <v>6481.01</v>
      </c>
      <c r="J24" s="162"/>
      <c r="R24" s="163">
        <v>688</v>
      </c>
      <c r="W24" s="164">
        <v>6563.01</v>
      </c>
    </row>
    <row r="25" spans="1:23">
      <c r="B25" s="162">
        <v>6090</v>
      </c>
      <c r="F25" s="162">
        <v>6481.02</v>
      </c>
      <c r="J25" s="162"/>
      <c r="R25" s="163">
        <v>6881</v>
      </c>
      <c r="W25" s="164">
        <v>6563.02</v>
      </c>
    </row>
    <row r="26" spans="1:23">
      <c r="B26" s="162">
        <v>6091.01</v>
      </c>
      <c r="F26" s="162">
        <v>6481.03</v>
      </c>
      <c r="J26" s="162"/>
      <c r="W26" s="164">
        <v>6563.03</v>
      </c>
    </row>
    <row r="27" spans="1:23">
      <c r="B27" s="162">
        <v>6091.02</v>
      </c>
      <c r="J27" s="162"/>
      <c r="W27" s="164">
        <v>657</v>
      </c>
    </row>
    <row r="28" spans="1:23">
      <c r="B28" s="162">
        <v>6091.03</v>
      </c>
      <c r="J28" s="162"/>
      <c r="W28" s="164">
        <v>6571</v>
      </c>
    </row>
    <row r="29" spans="1:23">
      <c r="B29" s="162">
        <v>61</v>
      </c>
      <c r="W29" s="164">
        <v>658</v>
      </c>
    </row>
    <row r="30" spans="1:23">
      <c r="B30" s="162">
        <v>611</v>
      </c>
      <c r="W30" s="164">
        <v>6581</v>
      </c>
    </row>
    <row r="31" spans="1:23">
      <c r="B31" s="162">
        <v>6111</v>
      </c>
      <c r="W31" s="164">
        <v>6581.01</v>
      </c>
    </row>
    <row r="32" spans="1:23">
      <c r="B32" s="162">
        <v>6111.01</v>
      </c>
      <c r="W32" s="164">
        <v>6581.02</v>
      </c>
    </row>
    <row r="33" spans="2:23">
      <c r="B33" s="162">
        <v>6111.02</v>
      </c>
      <c r="W33" s="164">
        <v>6581.03</v>
      </c>
    </row>
    <row r="34" spans="2:23">
      <c r="B34" s="162">
        <v>6111.03</v>
      </c>
    </row>
    <row r="35" spans="2:23">
      <c r="B35" s="162">
        <v>6124</v>
      </c>
    </row>
    <row r="36" spans="2:23">
      <c r="B36" s="162">
        <v>6124.01</v>
      </c>
    </row>
    <row r="37" spans="2:23">
      <c r="B37" s="162">
        <v>6124.02</v>
      </c>
    </row>
    <row r="38" spans="2:23">
      <c r="B38" s="162">
        <v>6124.03</v>
      </c>
    </row>
    <row r="39" spans="2:23">
      <c r="B39" s="162">
        <v>613</v>
      </c>
    </row>
    <row r="40" spans="2:23">
      <c r="B40" s="162">
        <v>6131</v>
      </c>
    </row>
    <row r="41" spans="2:23">
      <c r="B41" s="162">
        <v>6131.01</v>
      </c>
    </row>
    <row r="42" spans="2:23">
      <c r="B42" s="162">
        <v>6131.02</v>
      </c>
    </row>
    <row r="43" spans="2:23">
      <c r="B43" s="162">
        <v>6131.03</v>
      </c>
    </row>
    <row r="44" spans="2:23">
      <c r="B44" s="162">
        <v>617</v>
      </c>
    </row>
    <row r="45" spans="2:23">
      <c r="B45" s="162">
        <v>6171</v>
      </c>
    </row>
    <row r="46" spans="2:23">
      <c r="B46" s="162">
        <v>618</v>
      </c>
    </row>
    <row r="47" spans="2:23">
      <c r="B47" s="162">
        <v>6181</v>
      </c>
    </row>
    <row r="48" spans="2:23">
      <c r="B48" s="162">
        <v>6181.01</v>
      </c>
    </row>
    <row r="49" spans="2:2">
      <c r="B49" s="162">
        <v>6181.02</v>
      </c>
    </row>
    <row r="50" spans="2:2">
      <c r="B50" s="162">
        <v>6181.03</v>
      </c>
    </row>
    <row r="51" spans="2:2">
      <c r="B51" s="162">
        <v>619</v>
      </c>
    </row>
    <row r="52" spans="2:2">
      <c r="B52" s="162">
        <v>6191</v>
      </c>
    </row>
    <row r="53" spans="2:2">
      <c r="B53" s="162">
        <v>6191.01</v>
      </c>
    </row>
    <row r="54" spans="2:2">
      <c r="B54" s="162">
        <v>6191.02</v>
      </c>
    </row>
    <row r="55" spans="2:2">
      <c r="B55" s="162">
        <v>6191.03</v>
      </c>
    </row>
    <row r="56" spans="2:2">
      <c r="B56" s="162">
        <v>62</v>
      </c>
    </row>
    <row r="57" spans="2:2">
      <c r="B57" s="162">
        <v>621</v>
      </c>
    </row>
    <row r="58" spans="2:2">
      <c r="B58" s="162">
        <v>6211</v>
      </c>
    </row>
    <row r="59" spans="2:2">
      <c r="B59" s="162">
        <v>6211.01</v>
      </c>
    </row>
    <row r="60" spans="2:2">
      <c r="B60" s="162">
        <v>6211.02</v>
      </c>
    </row>
    <row r="61" spans="2:2">
      <c r="B61" s="162">
        <v>6211.03</v>
      </c>
    </row>
    <row r="62" spans="2:2">
      <c r="B62" s="162">
        <v>6222</v>
      </c>
    </row>
    <row r="63" spans="2:2">
      <c r="B63" s="162">
        <v>6222.01</v>
      </c>
    </row>
    <row r="64" spans="2:2">
      <c r="B64" s="162">
        <v>6222.02</v>
      </c>
    </row>
    <row r="65" spans="2:2">
      <c r="B65" s="162">
        <v>6222.03</v>
      </c>
    </row>
    <row r="66" spans="2:2">
      <c r="B66" s="162">
        <v>623</v>
      </c>
    </row>
    <row r="67" spans="2:2">
      <c r="B67" s="162">
        <v>6231</v>
      </c>
    </row>
    <row r="68" spans="2:2">
      <c r="B68" s="162">
        <v>6231.01</v>
      </c>
    </row>
    <row r="69" spans="2:2">
      <c r="B69" s="162">
        <v>6231.02</v>
      </c>
    </row>
    <row r="70" spans="2:2">
      <c r="B70" s="162">
        <v>6231.03</v>
      </c>
    </row>
    <row r="71" spans="2:2">
      <c r="B71" s="162">
        <v>624</v>
      </c>
    </row>
    <row r="72" spans="2:2">
      <c r="B72" s="162">
        <v>6241</v>
      </c>
    </row>
    <row r="73" spans="2:2">
      <c r="B73" s="162">
        <v>6241.01</v>
      </c>
    </row>
    <row r="74" spans="2:2">
      <c r="B74" s="162">
        <v>6241.02</v>
      </c>
    </row>
    <row r="75" spans="2:2">
      <c r="B75" s="162">
        <v>6241.03</v>
      </c>
    </row>
    <row r="76" spans="2:2">
      <c r="B76" s="162">
        <v>6252</v>
      </c>
    </row>
    <row r="77" spans="2:2">
      <c r="B77" s="162">
        <v>6252.01</v>
      </c>
    </row>
    <row r="78" spans="2:2">
      <c r="B78" s="162">
        <v>6252.02</v>
      </c>
    </row>
    <row r="79" spans="2:2">
      <c r="B79" s="162">
        <v>6252.03</v>
      </c>
    </row>
    <row r="80" spans="2:2">
      <c r="B80" s="162">
        <v>6253</v>
      </c>
    </row>
    <row r="81" spans="2:2">
      <c r="B81" s="162">
        <v>6253.01</v>
      </c>
    </row>
    <row r="82" spans="2:2">
      <c r="B82" s="162">
        <v>6253.02</v>
      </c>
    </row>
    <row r="83" spans="2:2">
      <c r="B83" s="162">
        <v>6253.03</v>
      </c>
    </row>
    <row r="84" spans="2:2">
      <c r="B84" s="162">
        <v>626</v>
      </c>
    </row>
    <row r="85" spans="2:2">
      <c r="B85" s="162">
        <v>6261</v>
      </c>
    </row>
    <row r="86" spans="2:2">
      <c r="B86" s="162">
        <v>6261.01</v>
      </c>
    </row>
    <row r="87" spans="2:2">
      <c r="B87" s="162">
        <v>6261.02</v>
      </c>
    </row>
    <row r="88" spans="2:2">
      <c r="B88" s="162">
        <v>6261.03</v>
      </c>
    </row>
    <row r="89" spans="2:2">
      <c r="B89" s="162">
        <v>632</v>
      </c>
    </row>
    <row r="90" spans="2:2">
      <c r="B90" s="162">
        <v>6321</v>
      </c>
    </row>
    <row r="91" spans="2:2">
      <c r="B91" s="162">
        <v>6321.03</v>
      </c>
    </row>
    <row r="92" spans="2:2">
      <c r="B92" s="162">
        <v>633</v>
      </c>
    </row>
    <row r="93" spans="2:2">
      <c r="B93" s="162">
        <v>6331</v>
      </c>
    </row>
    <row r="94" spans="2:2">
      <c r="B94" s="162">
        <v>6331.03</v>
      </c>
    </row>
    <row r="95" spans="2:2">
      <c r="B95" s="162">
        <v>636</v>
      </c>
    </row>
    <row r="96" spans="2:2">
      <c r="B96" s="162">
        <v>6361</v>
      </c>
    </row>
    <row r="97" spans="2:2">
      <c r="B97" s="162">
        <v>6361.01</v>
      </c>
    </row>
    <row r="98" spans="2:2">
      <c r="B98" s="162">
        <v>6361.02</v>
      </c>
    </row>
    <row r="99" spans="2:2">
      <c r="B99" s="162">
        <v>6361.03</v>
      </c>
    </row>
    <row r="100" spans="2:2">
      <c r="B100" s="162">
        <v>6362</v>
      </c>
    </row>
    <row r="101" spans="2:2">
      <c r="B101" s="162">
        <v>6362.01</v>
      </c>
    </row>
    <row r="102" spans="2:2">
      <c r="B102" s="162">
        <v>6362.02</v>
      </c>
    </row>
    <row r="103" spans="2:2">
      <c r="B103" s="162">
        <v>6362.03</v>
      </c>
    </row>
    <row r="104" spans="2:2">
      <c r="B104" s="162">
        <v>6363</v>
      </c>
    </row>
    <row r="105" spans="2:2">
      <c r="B105" s="162">
        <v>6363.01</v>
      </c>
    </row>
    <row r="106" spans="2:2">
      <c r="B106" s="162">
        <v>6363.02</v>
      </c>
    </row>
    <row r="107" spans="2:2">
      <c r="B107" s="162">
        <v>6363.03</v>
      </c>
    </row>
    <row r="108" spans="2:2">
      <c r="B108" s="162">
        <v>637</v>
      </c>
    </row>
    <row r="109" spans="2:2">
      <c r="B109" s="162">
        <v>6371</v>
      </c>
    </row>
    <row r="110" spans="2:2">
      <c r="B110" s="162">
        <v>6371.01</v>
      </c>
    </row>
    <row r="111" spans="2:2">
      <c r="B111" s="162">
        <v>6371.02</v>
      </c>
    </row>
    <row r="112" spans="2:2">
      <c r="B112" s="162">
        <v>6371.03</v>
      </c>
    </row>
    <row r="113" spans="2:2">
      <c r="B113" s="162">
        <v>638</v>
      </c>
    </row>
    <row r="114" spans="2:2">
      <c r="B114" s="162">
        <v>6381</v>
      </c>
    </row>
    <row r="115" spans="2:2">
      <c r="B115" s="162">
        <v>6381.01</v>
      </c>
    </row>
    <row r="116" spans="2:2">
      <c r="B116" s="162">
        <v>6381.02</v>
      </c>
    </row>
    <row r="117" spans="2:2">
      <c r="B117" s="162">
        <v>6381.03</v>
      </c>
    </row>
    <row r="118" spans="2:2">
      <c r="B118" s="162">
        <v>6382</v>
      </c>
    </row>
    <row r="119" spans="2:2">
      <c r="B119" s="162">
        <v>6382.01</v>
      </c>
    </row>
    <row r="120" spans="2:2">
      <c r="B120" s="162">
        <v>6382.02</v>
      </c>
    </row>
    <row r="121" spans="2:2">
      <c r="B121" s="162">
        <v>6382.03</v>
      </c>
    </row>
    <row r="122" spans="2:2">
      <c r="B122" s="162">
        <v>6383</v>
      </c>
    </row>
    <row r="123" spans="2:2">
      <c r="B123" s="162">
        <v>6383.01</v>
      </c>
    </row>
    <row r="124" spans="2:2">
      <c r="B124" s="162">
        <v>6383.02</v>
      </c>
    </row>
    <row r="125" spans="2:2">
      <c r="B125" s="162">
        <v>6383.03</v>
      </c>
    </row>
    <row r="126" spans="2:2">
      <c r="B126" s="162">
        <v>662</v>
      </c>
    </row>
    <row r="127" spans="2:2">
      <c r="B127" s="162">
        <v>6621</v>
      </c>
    </row>
    <row r="128" spans="2:2">
      <c r="B128" s="162">
        <v>6621.01</v>
      </c>
    </row>
    <row r="129" spans="2:2">
      <c r="B129" s="162">
        <v>663</v>
      </c>
    </row>
    <row r="130" spans="2:2">
      <c r="B130" s="162">
        <v>6631</v>
      </c>
    </row>
    <row r="131" spans="2:2">
      <c r="B131" s="162">
        <v>6631.01</v>
      </c>
    </row>
    <row r="132" spans="2:2">
      <c r="B132" s="162">
        <v>6631.02</v>
      </c>
    </row>
    <row r="133" spans="2:2">
      <c r="B133" s="162">
        <v>6631.03</v>
      </c>
    </row>
    <row r="134" spans="2:2">
      <c r="B134" s="162">
        <v>6631.04</v>
      </c>
    </row>
    <row r="135" spans="2:2">
      <c r="B135" s="162">
        <v>664</v>
      </c>
    </row>
    <row r="136" spans="2:2">
      <c r="B136" s="162">
        <v>6641</v>
      </c>
    </row>
    <row r="137" spans="2:2">
      <c r="B137" s="162">
        <v>665</v>
      </c>
    </row>
    <row r="138" spans="2:2">
      <c r="B138" s="162">
        <v>6651</v>
      </c>
    </row>
    <row r="139" spans="2:2">
      <c r="B139" s="162">
        <v>666</v>
      </c>
    </row>
    <row r="140" spans="2:2">
      <c r="B140" s="162">
        <v>6661</v>
      </c>
    </row>
    <row r="141" spans="2:2">
      <c r="B141" s="162">
        <v>667</v>
      </c>
    </row>
    <row r="142" spans="2:2">
      <c r="B142" s="162">
        <v>6671</v>
      </c>
    </row>
    <row r="143" spans="2:2">
      <c r="B143" s="162">
        <v>668</v>
      </c>
    </row>
    <row r="144" spans="2:2">
      <c r="B144" s="162">
        <v>6681</v>
      </c>
    </row>
    <row r="145" spans="2:2">
      <c r="B145" s="162">
        <v>67</v>
      </c>
    </row>
    <row r="146" spans="2:2">
      <c r="B146" s="162">
        <v>671</v>
      </c>
    </row>
    <row r="147" spans="2:2">
      <c r="B147" s="162">
        <v>6711</v>
      </c>
    </row>
    <row r="148" spans="2:2">
      <c r="B148" s="162">
        <v>672</v>
      </c>
    </row>
    <row r="149" spans="2:2">
      <c r="B149" s="162">
        <v>6721</v>
      </c>
    </row>
    <row r="150" spans="2:2">
      <c r="B150" s="162">
        <v>673</v>
      </c>
    </row>
    <row r="151" spans="2:2">
      <c r="B151" s="162">
        <v>6731</v>
      </c>
    </row>
    <row r="152" spans="2:2">
      <c r="B152" s="162">
        <v>674</v>
      </c>
    </row>
    <row r="153" spans="2:2">
      <c r="B153" s="162">
        <v>6741</v>
      </c>
    </row>
    <row r="154" spans="2:2">
      <c r="B154" s="162">
        <v>6741.01</v>
      </c>
    </row>
    <row r="155" spans="2:2">
      <c r="B155" s="162">
        <v>675</v>
      </c>
    </row>
    <row r="156" spans="2:2">
      <c r="B156" s="162">
        <v>6751</v>
      </c>
    </row>
    <row r="157" spans="2:2">
      <c r="B157" s="162">
        <v>678</v>
      </c>
    </row>
    <row r="158" spans="2:2">
      <c r="B158" s="162">
        <v>6781</v>
      </c>
    </row>
    <row r="159" spans="2:2">
      <c r="B159" s="162">
        <v>6782</v>
      </c>
    </row>
    <row r="160" spans="2:2">
      <c r="B160" s="162">
        <v>6783</v>
      </c>
    </row>
    <row r="161" spans="2:2">
      <c r="B161" s="162">
        <v>6788</v>
      </c>
    </row>
    <row r="162" spans="2:2">
      <c r="B162" s="162">
        <v>68</v>
      </c>
    </row>
    <row r="163" spans="2:2">
      <c r="B163" s="162">
        <v>681</v>
      </c>
    </row>
    <row r="164" spans="2:2">
      <c r="B164" s="162">
        <v>6811</v>
      </c>
    </row>
    <row r="165" spans="2:2">
      <c r="B165" s="162">
        <v>682</v>
      </c>
    </row>
    <row r="166" spans="2:2">
      <c r="B166" s="162">
        <v>6820</v>
      </c>
    </row>
    <row r="167" spans="2:2">
      <c r="B167" s="162">
        <v>6820.01</v>
      </c>
    </row>
    <row r="168" spans="2:2">
      <c r="B168" s="162">
        <v>6820.02</v>
      </c>
    </row>
    <row r="169" spans="2:2">
      <c r="B169" s="162">
        <v>6820.03</v>
      </c>
    </row>
    <row r="170" spans="2:2">
      <c r="B170" s="162">
        <v>6821</v>
      </c>
    </row>
    <row r="171" spans="2:2">
      <c r="B171" s="162">
        <v>6821.01</v>
      </c>
    </row>
    <row r="172" spans="2:2">
      <c r="B172" s="162">
        <v>6821.02</v>
      </c>
    </row>
    <row r="173" spans="2:2">
      <c r="B173" s="162">
        <v>6821.03</v>
      </c>
    </row>
    <row r="174" spans="2:2">
      <c r="B174" s="162">
        <v>6822</v>
      </c>
    </row>
    <row r="175" spans="2:2">
      <c r="B175" s="162">
        <v>6822.01</v>
      </c>
    </row>
    <row r="176" spans="2:2">
      <c r="B176" s="162">
        <v>6822.03</v>
      </c>
    </row>
    <row r="177" spans="2:2">
      <c r="B177" s="162">
        <v>6823.01</v>
      </c>
    </row>
    <row r="178" spans="2:2">
      <c r="B178" s="162">
        <v>6823.03</v>
      </c>
    </row>
    <row r="179" spans="2:2">
      <c r="B179" s="162">
        <v>6824.01</v>
      </c>
    </row>
    <row r="180" spans="2:2">
      <c r="B180" s="162">
        <v>6824.03</v>
      </c>
    </row>
    <row r="181" spans="2:2">
      <c r="B181" s="162">
        <v>6825</v>
      </c>
    </row>
    <row r="182" spans="2:2">
      <c r="B182" s="162">
        <v>6825.01</v>
      </c>
    </row>
    <row r="183" spans="2:2">
      <c r="B183" s="162">
        <v>6825.02</v>
      </c>
    </row>
    <row r="184" spans="2:2">
      <c r="B184" s="162">
        <v>6825.03</v>
      </c>
    </row>
    <row r="185" spans="2:2">
      <c r="B185" s="162">
        <v>6828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BEA47-0A50-4A7A-BD60-ABD9453428B6}">
  <sheetPr codeName="Sheet1"/>
  <dimension ref="A1:J69"/>
  <sheetViews>
    <sheetView showGridLines="0" tabSelected="1" view="pageBreakPreview" topLeftCell="A46" zoomScale="115" zoomScaleNormal="115" zoomScaleSheetLayoutView="115" workbookViewId="0">
      <selection activeCell="E64" sqref="E64:I64"/>
    </sheetView>
  </sheetViews>
  <sheetFormatPr defaultColWidth="17.28515625" defaultRowHeight="18.75"/>
  <cols>
    <col min="1" max="1" width="9.5703125" style="202" customWidth="1"/>
    <col min="2" max="2" width="11.7109375" style="202" customWidth="1"/>
    <col min="3" max="3" width="38" style="202" customWidth="1"/>
    <col min="4" max="4" width="7.7109375" style="250" customWidth="1"/>
    <col min="5" max="5" width="24.140625" style="248" customWidth="1"/>
    <col min="6" max="6" width="4.42578125" style="248" hidden="1" customWidth="1"/>
    <col min="7" max="7" width="2.5703125" style="248" hidden="1" customWidth="1"/>
    <col min="8" max="8" width="18.5703125" style="248" hidden="1" customWidth="1"/>
    <col min="9" max="9" width="27.28515625" style="248" customWidth="1"/>
    <col min="10" max="10" width="7.28515625" style="201" customWidth="1"/>
    <col min="11" max="16384" width="17.28515625" style="202"/>
  </cols>
  <sheetData>
    <row r="1" spans="1:10">
      <c r="A1" s="198"/>
      <c r="B1" s="198"/>
      <c r="C1" s="197"/>
      <c r="D1" s="199"/>
      <c r="E1" s="200"/>
      <c r="F1" s="200"/>
      <c r="G1" s="200"/>
      <c r="H1" s="200" t="s">
        <v>1224</v>
      </c>
      <c r="I1" s="200"/>
    </row>
    <row r="2" spans="1:10">
      <c r="A2" s="198"/>
      <c r="B2" s="198"/>
      <c r="C2" s="195" t="s">
        <v>1144</v>
      </c>
      <c r="D2" s="195"/>
      <c r="E2" s="195"/>
      <c r="F2" s="195"/>
      <c r="G2" s="195"/>
      <c r="H2" s="195"/>
      <c r="I2" s="203"/>
    </row>
    <row r="3" spans="1:10">
      <c r="A3" s="198"/>
      <c r="B3" s="198"/>
      <c r="C3" s="195" t="s">
        <v>1215</v>
      </c>
      <c r="D3" s="195"/>
      <c r="E3" s="195"/>
      <c r="F3" s="195"/>
      <c r="G3" s="195"/>
      <c r="H3" s="195"/>
      <c r="I3" s="203"/>
    </row>
    <row r="4" spans="1:10">
      <c r="A4" s="198"/>
      <c r="B4" s="198"/>
      <c r="C4" s="196" t="s">
        <v>1214</v>
      </c>
      <c r="D4" s="196"/>
      <c r="E4" s="196"/>
      <c r="F4" s="196"/>
      <c r="G4" s="196"/>
      <c r="H4" s="196"/>
      <c r="I4" s="203"/>
    </row>
    <row r="5" spans="1:10">
      <c r="A5" s="198"/>
      <c r="B5" s="198"/>
      <c r="C5" s="197"/>
      <c r="D5" s="199"/>
      <c r="E5" s="200"/>
      <c r="F5" s="200"/>
      <c r="G5" s="200"/>
      <c r="H5" s="200"/>
      <c r="I5" s="200"/>
    </row>
    <row r="6" spans="1:10">
      <c r="A6" s="204"/>
      <c r="B6" s="204"/>
      <c r="C6" s="205"/>
      <c r="D6" s="204"/>
      <c r="E6" s="206"/>
      <c r="F6" s="206"/>
      <c r="G6" s="206"/>
      <c r="H6" s="206"/>
      <c r="I6" s="206"/>
    </row>
    <row r="7" spans="1:10">
      <c r="A7" s="207"/>
      <c r="B7" s="208"/>
      <c r="C7" s="208"/>
      <c r="D7" s="209"/>
      <c r="E7" s="210" t="s">
        <v>1229</v>
      </c>
      <c r="F7" s="210"/>
      <c r="G7" s="210" t="s">
        <v>1148</v>
      </c>
      <c r="H7" s="210"/>
      <c r="I7" s="210" t="s">
        <v>1228</v>
      </c>
      <c r="J7" s="211"/>
    </row>
    <row r="8" spans="1:10" ht="12.75" customHeight="1">
      <c r="A8" s="207"/>
      <c r="B8" s="208"/>
      <c r="C8" s="208"/>
      <c r="D8" s="209"/>
      <c r="E8" s="212" t="s">
        <v>1227</v>
      </c>
      <c r="F8" s="212"/>
      <c r="G8" s="212" t="s">
        <v>1150</v>
      </c>
      <c r="H8" s="212"/>
      <c r="I8" s="212" t="s">
        <v>1227</v>
      </c>
      <c r="J8" s="211"/>
    </row>
    <row r="9" spans="1:10" ht="12.75" customHeight="1">
      <c r="A9" s="207"/>
      <c r="B9" s="208"/>
      <c r="C9" s="208"/>
      <c r="D9" s="209"/>
      <c r="E9" s="213"/>
      <c r="F9" s="213"/>
      <c r="G9" s="213"/>
      <c r="H9" s="213"/>
      <c r="I9" s="213"/>
      <c r="J9" s="211"/>
    </row>
    <row r="10" spans="1:10" ht="12.75" customHeight="1">
      <c r="A10" s="207"/>
      <c r="B10" s="214" t="s">
        <v>1153</v>
      </c>
      <c r="C10" s="208"/>
      <c r="D10" s="215"/>
      <c r="E10" s="213"/>
      <c r="F10" s="213"/>
      <c r="G10" s="213"/>
      <c r="H10" s="213"/>
      <c r="I10" s="213"/>
      <c r="J10" s="211"/>
    </row>
    <row r="11" spans="1:10" ht="12.75" customHeight="1">
      <c r="A11" s="207"/>
      <c r="B11" s="208" t="s">
        <v>1154</v>
      </c>
      <c r="C11" s="208" t="s">
        <v>1155</v>
      </c>
      <c r="D11" s="215"/>
      <c r="E11" s="213"/>
      <c r="F11" s="213"/>
      <c r="G11" s="213"/>
      <c r="H11" s="213"/>
      <c r="I11" s="213"/>
      <c r="J11" s="211"/>
    </row>
    <row r="12" spans="1:10" ht="12.75" customHeight="1">
      <c r="A12" s="207"/>
      <c r="B12" s="208"/>
      <c r="C12" s="208"/>
      <c r="D12" s="215"/>
      <c r="E12" s="216">
        <v>-1343242957.3099999</v>
      </c>
      <c r="F12" s="213"/>
      <c r="G12" s="213"/>
      <c r="H12" s="213"/>
      <c r="I12" s="216">
        <v>-30961152373.240002</v>
      </c>
      <c r="J12" s="211"/>
    </row>
    <row r="13" spans="1:10" ht="12.75" customHeight="1">
      <c r="A13" s="207"/>
      <c r="B13" s="208" t="s">
        <v>1156</v>
      </c>
      <c r="C13" s="208" t="s">
        <v>1157</v>
      </c>
      <c r="D13" s="215"/>
      <c r="E13" s="213"/>
      <c r="F13" s="213"/>
      <c r="G13" s="213"/>
      <c r="H13" s="213"/>
      <c r="I13" s="213"/>
      <c r="J13" s="211"/>
    </row>
    <row r="14" spans="1:10" ht="12.75" customHeight="1">
      <c r="A14" s="207"/>
      <c r="B14" s="208"/>
      <c r="C14" s="208"/>
      <c r="D14" s="217"/>
      <c r="E14" s="216">
        <v>-201102845.91999999</v>
      </c>
      <c r="F14" s="213"/>
      <c r="G14" s="213"/>
      <c r="H14" s="213"/>
      <c r="I14" s="216">
        <v>-3812452971.3299999</v>
      </c>
      <c r="J14" s="211"/>
    </row>
    <row r="15" spans="1:10" ht="12.75" customHeight="1">
      <c r="A15" s="207"/>
      <c r="B15" s="208" t="s">
        <v>1158</v>
      </c>
      <c r="C15" s="208" t="s">
        <v>1159</v>
      </c>
      <c r="D15" s="215"/>
      <c r="E15" s="216"/>
      <c r="F15" s="213"/>
      <c r="G15" s="213"/>
      <c r="H15" s="213"/>
      <c r="I15" s="216"/>
      <c r="J15" s="211"/>
    </row>
    <row r="16" spans="1:10" ht="12.75" customHeight="1">
      <c r="A16" s="207"/>
      <c r="B16" s="208"/>
      <c r="C16" s="208"/>
      <c r="D16" s="217"/>
      <c r="E16" s="216">
        <v>-89478880</v>
      </c>
      <c r="F16" s="213"/>
      <c r="G16" s="213"/>
      <c r="H16" s="213"/>
      <c r="I16" s="216">
        <v>-1633145930.8</v>
      </c>
      <c r="J16" s="211"/>
    </row>
    <row r="17" spans="1:10" ht="12.75" customHeight="1">
      <c r="A17" s="207"/>
      <c r="B17" s="208"/>
      <c r="C17" s="208"/>
      <c r="D17" s="217"/>
      <c r="E17" s="216"/>
      <c r="F17" s="213"/>
      <c r="G17" s="213"/>
      <c r="H17" s="213"/>
      <c r="I17" s="216"/>
      <c r="J17" s="211"/>
    </row>
    <row r="18" spans="1:10" ht="12.75" customHeight="1">
      <c r="A18" s="207"/>
      <c r="B18" s="208" t="s">
        <v>1160</v>
      </c>
      <c r="C18" s="208" t="s">
        <v>1161</v>
      </c>
      <c r="D18" s="215"/>
      <c r="E18" s="216">
        <v>-432423937.69999999</v>
      </c>
      <c r="F18" s="202"/>
      <c r="G18" s="202"/>
      <c r="H18" s="202"/>
      <c r="I18" s="216">
        <v>-10954694711.4</v>
      </c>
      <c r="J18" s="211"/>
    </row>
    <row r="19" spans="1:10" ht="12.75" customHeight="1">
      <c r="A19" s="207"/>
      <c r="B19" s="208"/>
      <c r="C19" s="208"/>
      <c r="D19" s="215"/>
      <c r="E19" s="216"/>
      <c r="F19" s="202"/>
      <c r="G19" s="202"/>
      <c r="H19" s="202"/>
      <c r="I19" s="216"/>
      <c r="J19" s="211"/>
    </row>
    <row r="20" spans="1:10" ht="12.75" customHeight="1">
      <c r="A20" s="207"/>
      <c r="B20" s="208"/>
      <c r="C20" s="208"/>
      <c r="D20" s="215"/>
      <c r="E20" s="213"/>
      <c r="F20" s="213"/>
      <c r="G20" s="213"/>
      <c r="H20" s="213"/>
      <c r="I20" s="213"/>
      <c r="J20" s="218"/>
    </row>
    <row r="21" spans="1:10" ht="12.75" customHeight="1">
      <c r="A21" s="219" t="s">
        <v>1162</v>
      </c>
      <c r="B21" s="220"/>
      <c r="C21" s="220"/>
      <c r="D21" s="220"/>
      <c r="E21" s="221">
        <f>SUM(E12:E18)</f>
        <v>-2066248620.9300001</v>
      </c>
      <c r="F21" s="222"/>
      <c r="G21" s="222"/>
      <c r="H21" s="222"/>
      <c r="I21" s="223">
        <f>SUM(I12:I20)</f>
        <v>-47361445986.770004</v>
      </c>
      <c r="J21" s="218"/>
    </row>
    <row r="22" spans="1:10" ht="12.75" customHeight="1">
      <c r="A22" s="207"/>
      <c r="B22" s="208"/>
      <c r="C22" s="208"/>
      <c r="D22" s="215"/>
      <c r="E22" s="224">
        <v>0</v>
      </c>
      <c r="F22" s="213"/>
      <c r="G22" s="213"/>
      <c r="H22" s="213"/>
      <c r="I22" s="225">
        <v>452806840</v>
      </c>
      <c r="J22" s="218"/>
    </row>
    <row r="23" spans="1:10" ht="12.75" customHeight="1">
      <c r="A23" s="207"/>
      <c r="B23" s="226" t="s">
        <v>1163</v>
      </c>
      <c r="C23" s="226"/>
      <c r="D23" s="226"/>
      <c r="E23" s="227"/>
      <c r="F23" s="213"/>
      <c r="G23" s="213"/>
      <c r="H23" s="213"/>
      <c r="I23" s="228"/>
      <c r="J23" s="218"/>
    </row>
    <row r="24" spans="1:10" ht="12.75" customHeight="1">
      <c r="A24" s="207"/>
      <c r="B24" s="214"/>
      <c r="C24" s="208"/>
      <c r="D24" s="215"/>
      <c r="E24" s="229"/>
      <c r="F24" s="213"/>
      <c r="G24" s="213"/>
      <c r="H24" s="213"/>
      <c r="I24" s="230"/>
      <c r="J24" s="218"/>
    </row>
    <row r="25" spans="1:10">
      <c r="A25" s="219" t="s">
        <v>1164</v>
      </c>
      <c r="B25" s="220"/>
      <c r="C25" s="220"/>
      <c r="D25" s="220"/>
      <c r="E25" s="231">
        <f>+E_TotalIncome+E_COS</f>
        <v>-2066248620.9300001</v>
      </c>
      <c r="F25" s="222"/>
      <c r="G25" s="222"/>
      <c r="H25" s="222"/>
      <c r="I25" s="232">
        <f>+I21+I22</f>
        <v>-46908639146.770004</v>
      </c>
      <c r="J25" s="218"/>
    </row>
    <row r="26" spans="1:10" ht="12.75" customHeight="1">
      <c r="A26" s="207"/>
      <c r="B26" s="208"/>
      <c r="C26" s="208"/>
      <c r="D26" s="215"/>
      <c r="E26" s="213"/>
      <c r="F26" s="213"/>
      <c r="G26" s="213"/>
      <c r="H26" s="213"/>
      <c r="I26" s="213"/>
      <c r="J26" s="211"/>
    </row>
    <row r="27" spans="1:10" ht="12.75" customHeight="1">
      <c r="A27" s="207"/>
      <c r="B27" s="208"/>
      <c r="C27" s="208"/>
      <c r="D27" s="215"/>
      <c r="E27" s="213"/>
      <c r="F27" s="213"/>
      <c r="G27" s="213"/>
      <c r="H27" s="213"/>
      <c r="I27" s="213"/>
      <c r="J27" s="211"/>
    </row>
    <row r="28" spans="1:10" ht="12.75" customHeight="1">
      <c r="A28" s="207"/>
      <c r="B28" s="214" t="s">
        <v>1165</v>
      </c>
      <c r="C28" s="208"/>
      <c r="D28" s="215"/>
      <c r="E28" s="213"/>
      <c r="F28" s="213"/>
      <c r="G28" s="213"/>
      <c r="H28" s="213"/>
      <c r="I28" s="213"/>
      <c r="J28" s="211"/>
    </row>
    <row r="29" spans="1:10" ht="12.75" customHeight="1">
      <c r="A29" s="207"/>
      <c r="B29" s="208" t="s">
        <v>1166</v>
      </c>
      <c r="C29" s="208"/>
      <c r="D29" s="215"/>
      <c r="E29" s="213">
        <v>0</v>
      </c>
      <c r="F29" s="213"/>
      <c r="G29" s="213"/>
      <c r="H29" s="213"/>
      <c r="I29" s="213">
        <v>9791782270</v>
      </c>
      <c r="J29" s="211"/>
    </row>
    <row r="30" spans="1:10" ht="12.75" customHeight="1">
      <c r="A30" s="207"/>
      <c r="B30" s="208" t="s">
        <v>1167</v>
      </c>
      <c r="C30" s="208"/>
      <c r="D30" s="215"/>
      <c r="E30" s="213">
        <v>48919707.020000003</v>
      </c>
      <c r="F30" s="213"/>
      <c r="G30" s="213"/>
      <c r="H30" s="213"/>
      <c r="I30" s="213">
        <v>2379662393.6799998</v>
      </c>
      <c r="J30" s="211"/>
    </row>
    <row r="31" spans="1:10" ht="12.75" customHeight="1">
      <c r="A31" s="207"/>
      <c r="B31" s="208" t="s">
        <v>1168</v>
      </c>
      <c r="C31" s="208"/>
      <c r="D31" s="215"/>
      <c r="E31" s="213">
        <v>0</v>
      </c>
      <c r="F31" s="213"/>
      <c r="G31" s="213"/>
      <c r="H31" s="213"/>
      <c r="I31" s="213">
        <v>393441250</v>
      </c>
      <c r="J31" s="211"/>
    </row>
    <row r="32" spans="1:10" ht="12.75" customHeight="1">
      <c r="A32" s="207"/>
      <c r="B32" s="208" t="s">
        <v>1169</v>
      </c>
      <c r="C32" s="208"/>
      <c r="D32" s="215"/>
      <c r="E32" s="213">
        <v>0</v>
      </c>
      <c r="F32" s="213"/>
      <c r="G32" s="213"/>
      <c r="H32" s="213"/>
      <c r="I32" s="213">
        <v>555000</v>
      </c>
      <c r="J32" s="211"/>
    </row>
    <row r="33" spans="1:10" ht="12.75" customHeight="1">
      <c r="A33" s="207"/>
      <c r="B33" s="208" t="s">
        <v>1170</v>
      </c>
      <c r="C33" s="208"/>
      <c r="D33" s="215"/>
      <c r="E33" s="213">
        <v>93.03</v>
      </c>
      <c r="F33" s="213"/>
      <c r="G33" s="213"/>
      <c r="H33" s="213"/>
      <c r="I33" s="213">
        <v>770595203.02999997</v>
      </c>
      <c r="J33" s="211"/>
    </row>
    <row r="34" spans="1:10" ht="12.75" customHeight="1">
      <c r="A34" s="207"/>
      <c r="B34" s="208" t="s">
        <v>1171</v>
      </c>
      <c r="C34" s="208"/>
      <c r="D34" s="215"/>
      <c r="E34" s="213">
        <v>0</v>
      </c>
      <c r="F34" s="213"/>
      <c r="G34" s="213"/>
      <c r="H34" s="213"/>
      <c r="I34" s="213">
        <v>2762817913</v>
      </c>
      <c r="J34" s="211"/>
    </row>
    <row r="35" spans="1:10" ht="12.75" customHeight="1">
      <c r="A35" s="207"/>
      <c r="B35" s="208" t="s">
        <v>1172</v>
      </c>
      <c r="C35" s="208"/>
      <c r="D35" s="215"/>
      <c r="E35" s="213">
        <v>0</v>
      </c>
      <c r="F35" s="213"/>
      <c r="G35" s="213"/>
      <c r="H35" s="213"/>
      <c r="I35" s="213">
        <v>188000000</v>
      </c>
      <c r="J35" s="211"/>
    </row>
    <row r="36" spans="1:10" ht="12.75" customHeight="1">
      <c r="A36" s="207"/>
      <c r="B36" s="208" t="s">
        <v>1173</v>
      </c>
      <c r="C36" s="208"/>
      <c r="D36" s="215"/>
      <c r="E36" s="213">
        <v>50000</v>
      </c>
      <c r="F36" s="213"/>
      <c r="G36" s="213"/>
      <c r="H36" s="213"/>
      <c r="I36" s="213">
        <v>761517569</v>
      </c>
      <c r="J36" s="211"/>
    </row>
    <row r="37" spans="1:10" ht="12.75" customHeight="1">
      <c r="A37" s="207"/>
      <c r="B37" s="208" t="s">
        <v>1174</v>
      </c>
      <c r="C37" s="208"/>
      <c r="D37" s="215"/>
      <c r="E37" s="213">
        <v>0</v>
      </c>
      <c r="F37" s="213"/>
      <c r="G37" s="213"/>
      <c r="H37" s="213"/>
      <c r="I37" s="213">
        <v>145750495.78</v>
      </c>
      <c r="J37" s="211"/>
    </row>
    <row r="38" spans="1:10" ht="12.75" customHeight="1">
      <c r="A38" s="208"/>
      <c r="B38" s="208" t="s">
        <v>1175</v>
      </c>
      <c r="C38" s="208"/>
      <c r="D38" s="215"/>
      <c r="E38" s="213">
        <v>0</v>
      </c>
      <c r="F38" s="213"/>
      <c r="G38" s="213"/>
      <c r="H38" s="213"/>
      <c r="I38" s="213">
        <v>0</v>
      </c>
      <c r="J38" s="211"/>
    </row>
    <row r="39" spans="1:10" ht="12.75" customHeight="1">
      <c r="A39" s="208"/>
      <c r="B39" s="208" t="s">
        <v>1176</v>
      </c>
      <c r="C39" s="208"/>
      <c r="D39" s="215"/>
      <c r="E39" s="213">
        <v>1665000</v>
      </c>
      <c r="F39" s="213"/>
      <c r="G39" s="213"/>
      <c r="H39" s="213"/>
      <c r="I39" s="213">
        <v>34164228</v>
      </c>
      <c r="J39" s="211"/>
    </row>
    <row r="40" spans="1:10" ht="12.75" customHeight="1">
      <c r="A40" s="208"/>
      <c r="B40" s="208" t="s">
        <v>1177</v>
      </c>
      <c r="C40" s="208"/>
      <c r="D40" s="215"/>
      <c r="E40" s="213">
        <v>0</v>
      </c>
      <c r="F40" s="213"/>
      <c r="G40" s="213"/>
      <c r="H40" s="213"/>
      <c r="I40" s="213">
        <v>25350000</v>
      </c>
      <c r="J40" s="211"/>
    </row>
    <row r="41" spans="1:10" ht="12.75" customHeight="1">
      <c r="A41" s="208"/>
      <c r="B41" s="208" t="s">
        <v>1197</v>
      </c>
      <c r="C41" s="208"/>
      <c r="D41" s="215"/>
      <c r="E41" s="213">
        <v>0</v>
      </c>
      <c r="F41" s="213"/>
      <c r="G41" s="213"/>
      <c r="H41" s="213"/>
      <c r="I41" s="213">
        <v>33101000</v>
      </c>
      <c r="J41" s="211"/>
    </row>
    <row r="42" spans="1:10" ht="12.75" customHeight="1">
      <c r="A42" s="208"/>
      <c r="B42" s="208" t="s">
        <v>1198</v>
      </c>
      <c r="C42" s="208"/>
      <c r="D42" s="215"/>
      <c r="E42" s="213">
        <v>0</v>
      </c>
      <c r="F42" s="213"/>
      <c r="G42" s="213"/>
      <c r="H42" s="213"/>
      <c r="I42" s="213">
        <v>963549307</v>
      </c>
      <c r="J42" s="211"/>
    </row>
    <row r="43" spans="1:10" ht="12.75" customHeight="1">
      <c r="A43" s="208"/>
      <c r="B43" s="208" t="s">
        <v>1199</v>
      </c>
      <c r="C43" s="208"/>
      <c r="D43" s="215"/>
      <c r="E43" s="213">
        <v>0</v>
      </c>
      <c r="F43" s="213"/>
      <c r="G43" s="213"/>
      <c r="H43" s="213"/>
      <c r="I43" s="213">
        <v>351000</v>
      </c>
      <c r="J43" s="211"/>
    </row>
    <row r="44" spans="1:10" ht="12.75" customHeight="1">
      <c r="A44" s="208"/>
      <c r="B44" s="208" t="s">
        <v>1200</v>
      </c>
      <c r="C44" s="208"/>
      <c r="D44" s="215"/>
      <c r="E44" s="213">
        <v>0</v>
      </c>
      <c r="F44" s="213"/>
      <c r="G44" s="213"/>
      <c r="H44" s="213"/>
      <c r="I44" s="213">
        <v>39588286.399999999</v>
      </c>
      <c r="J44" s="211"/>
    </row>
    <row r="45" spans="1:10" ht="12.75" customHeight="1">
      <c r="A45" s="208"/>
      <c r="B45" s="208" t="s">
        <v>1201</v>
      </c>
      <c r="C45" s="208"/>
      <c r="D45" s="215"/>
      <c r="E45" s="213">
        <v>103335.91</v>
      </c>
      <c r="F45" s="213"/>
      <c r="G45" s="213"/>
      <c r="H45" s="213"/>
      <c r="I45" s="213">
        <v>99543916.129999995</v>
      </c>
      <c r="J45" s="211"/>
    </row>
    <row r="46" spans="1:10" ht="12.75" customHeight="1">
      <c r="A46" s="208"/>
      <c r="B46" s="208" t="s">
        <v>1196</v>
      </c>
      <c r="C46" s="208"/>
      <c r="D46" s="215"/>
      <c r="E46" s="213">
        <v>0</v>
      </c>
      <c r="F46" s="213"/>
      <c r="G46" s="213"/>
      <c r="H46" s="213"/>
      <c r="I46" s="213">
        <v>3800870000</v>
      </c>
      <c r="J46" s="211"/>
    </row>
    <row r="47" spans="1:10" ht="12.75" customHeight="1">
      <c r="A47" s="208"/>
      <c r="B47" s="208"/>
      <c r="C47" s="208"/>
      <c r="D47" s="215"/>
      <c r="E47" s="213"/>
      <c r="F47" s="213"/>
      <c r="G47" s="213"/>
      <c r="H47" s="213"/>
      <c r="I47" s="213"/>
      <c r="J47" s="211"/>
    </row>
    <row r="48" spans="1:10" ht="12.75" customHeight="1">
      <c r="A48" s="207"/>
      <c r="B48" s="214" t="s">
        <v>1219</v>
      </c>
      <c r="C48" s="214"/>
      <c r="D48" s="209"/>
      <c r="E48" s="233">
        <f>SUM(E29:E46)+E_GP</f>
        <v>-2015510484.97</v>
      </c>
      <c r="F48" s="233"/>
      <c r="G48" s="233"/>
      <c r="H48" s="233"/>
      <c r="I48" s="233">
        <f>SUM(I29:I47)+I25</f>
        <v>-24717999314.75</v>
      </c>
      <c r="J48" s="211"/>
    </row>
    <row r="49" spans="1:10" ht="12.75" customHeight="1">
      <c r="A49" s="207"/>
      <c r="B49" s="234"/>
      <c r="C49" s="214"/>
      <c r="D49" s="215"/>
      <c r="E49" s="213"/>
      <c r="F49" s="213"/>
      <c r="G49" s="213"/>
      <c r="H49" s="213"/>
      <c r="I49" s="213"/>
      <c r="J49" s="211"/>
    </row>
    <row r="50" spans="1:10" ht="12.75" customHeight="1">
      <c r="A50" s="207"/>
      <c r="B50" s="234" t="s">
        <v>1178</v>
      </c>
      <c r="C50" s="214"/>
      <c r="D50" s="215"/>
      <c r="E50" s="216">
        <v>-15000000</v>
      </c>
      <c r="F50" s="216"/>
      <c r="G50" s="216"/>
      <c r="H50" s="216"/>
      <c r="I50" s="216">
        <v>-15000000</v>
      </c>
      <c r="J50" s="211"/>
    </row>
    <row r="51" spans="1:10" ht="12.75" customHeight="1">
      <c r="A51" s="207"/>
      <c r="B51" s="234"/>
      <c r="C51" s="214"/>
      <c r="D51" s="215"/>
      <c r="E51" s="213"/>
      <c r="F51" s="213"/>
      <c r="G51" s="213"/>
      <c r="H51" s="213"/>
      <c r="I51" s="213"/>
      <c r="J51" s="211"/>
    </row>
    <row r="52" spans="1:10" ht="12.75" customHeight="1">
      <c r="A52" s="207"/>
      <c r="B52" s="235" t="s">
        <v>1179</v>
      </c>
      <c r="C52" s="214"/>
      <c r="D52" s="215"/>
      <c r="E52" s="213">
        <f>+E48+E50</f>
        <v>-2030510484.97</v>
      </c>
      <c r="F52" s="213"/>
      <c r="G52" s="213"/>
      <c r="H52" s="213"/>
      <c r="I52" s="213">
        <f>+I48+I50</f>
        <v>-24732999314.75</v>
      </c>
      <c r="J52" s="211"/>
    </row>
    <row r="53" spans="1:10" ht="12.75" customHeight="1">
      <c r="A53" s="207"/>
      <c r="B53" s="234"/>
      <c r="C53" s="214"/>
      <c r="D53" s="215"/>
      <c r="E53" s="213"/>
      <c r="F53" s="213"/>
      <c r="G53" s="213"/>
      <c r="H53" s="213"/>
      <c r="I53" s="213"/>
      <c r="J53" s="211"/>
    </row>
    <row r="54" spans="1:10" ht="12.75" customHeight="1">
      <c r="A54" s="207"/>
      <c r="B54" s="234" t="s">
        <v>1180</v>
      </c>
      <c r="C54" s="214"/>
      <c r="D54" s="215"/>
      <c r="E54" s="213"/>
      <c r="F54" s="213"/>
      <c r="G54" s="213"/>
      <c r="H54" s="213"/>
      <c r="I54" s="213"/>
      <c r="J54" s="211"/>
    </row>
    <row r="55" spans="1:10" ht="12.75" customHeight="1">
      <c r="A55" s="207"/>
      <c r="B55" s="234"/>
      <c r="C55" s="214"/>
      <c r="D55" s="215"/>
      <c r="E55" s="213"/>
      <c r="F55" s="213"/>
      <c r="G55" s="213"/>
      <c r="H55" s="213"/>
      <c r="I55" s="213"/>
      <c r="J55" s="211"/>
    </row>
    <row r="56" spans="1:10" ht="12.75" customHeight="1">
      <c r="A56" s="207"/>
      <c r="B56" s="234"/>
      <c r="C56" s="214" t="s">
        <v>1213</v>
      </c>
      <c r="D56" s="215"/>
      <c r="E56" s="213">
        <f>SUM(E52:E55)</f>
        <v>-2030510484.97</v>
      </c>
      <c r="F56" s="213"/>
      <c r="G56" s="213"/>
      <c r="H56" s="213"/>
      <c r="I56" s="213">
        <f>SUM(I52:I55)</f>
        <v>-24732999314.75</v>
      </c>
      <c r="J56" s="211"/>
    </row>
    <row r="57" spans="1:10" ht="12.75" customHeight="1">
      <c r="A57" s="207"/>
      <c r="B57" s="208"/>
      <c r="C57" s="208"/>
      <c r="D57" s="236"/>
      <c r="E57" s="213"/>
      <c r="F57" s="213"/>
      <c r="G57" s="213"/>
      <c r="H57" s="213"/>
      <c r="I57" s="213"/>
      <c r="J57" s="211"/>
    </row>
    <row r="58" spans="1:10" ht="12.75" customHeight="1">
      <c r="A58" s="207"/>
      <c r="B58" s="208"/>
      <c r="C58" s="208"/>
      <c r="D58" s="215"/>
      <c r="E58" s="213"/>
      <c r="F58" s="213"/>
      <c r="G58" s="213"/>
      <c r="H58" s="213"/>
      <c r="I58" s="213"/>
      <c r="J58" s="211"/>
    </row>
    <row r="59" spans="1:10" ht="15" customHeight="1">
      <c r="A59" s="207"/>
      <c r="B59" s="208"/>
      <c r="C59" s="208"/>
      <c r="D59" s="215"/>
      <c r="E59" s="213"/>
      <c r="F59" s="213"/>
      <c r="G59" s="213"/>
      <c r="H59" s="213"/>
      <c r="I59" s="213"/>
      <c r="J59" s="211"/>
    </row>
    <row r="60" spans="1:10" ht="12.75" customHeight="1">
      <c r="A60" s="207"/>
      <c r="B60" s="208"/>
      <c r="C60" s="208"/>
      <c r="D60" s="215"/>
      <c r="E60" s="213"/>
      <c r="F60" s="213"/>
      <c r="G60" s="213"/>
      <c r="H60" s="213"/>
      <c r="I60" s="213"/>
      <c r="J60" s="211"/>
    </row>
    <row r="61" spans="1:10" ht="12.75" customHeight="1">
      <c r="A61" s="207"/>
      <c r="B61" s="208"/>
      <c r="C61" s="208"/>
      <c r="D61" s="215"/>
      <c r="E61" s="213"/>
      <c r="F61" s="213"/>
      <c r="G61" s="213"/>
      <c r="H61" s="213"/>
      <c r="I61" s="213"/>
      <c r="J61" s="211"/>
    </row>
    <row r="62" spans="1:10" ht="12.75" customHeight="1">
      <c r="A62" s="207"/>
      <c r="B62" s="214"/>
      <c r="C62" s="208"/>
      <c r="D62" s="215"/>
      <c r="E62" s="213"/>
      <c r="F62" s="213"/>
      <c r="G62" s="213"/>
      <c r="H62" s="213"/>
      <c r="I62" s="213"/>
      <c r="J62" s="211"/>
    </row>
    <row r="63" spans="1:10" ht="12.75" customHeight="1">
      <c r="A63" s="207"/>
      <c r="B63" s="208"/>
      <c r="C63" s="208"/>
      <c r="D63" s="215"/>
      <c r="E63" s="213"/>
      <c r="F63" s="213"/>
      <c r="G63" s="213"/>
      <c r="H63" s="213"/>
      <c r="I63" s="213"/>
      <c r="J63" s="211"/>
    </row>
    <row r="64" spans="1:10" ht="12.75" customHeight="1">
      <c r="A64" s="207"/>
      <c r="B64" s="208"/>
      <c r="C64" s="237" t="s">
        <v>1206</v>
      </c>
      <c r="D64" s="238" t="s">
        <v>1207</v>
      </c>
      <c r="E64" s="239" t="s">
        <v>1208</v>
      </c>
      <c r="F64" s="239"/>
      <c r="G64" s="239"/>
      <c r="H64" s="239"/>
      <c r="I64" s="240"/>
      <c r="J64" s="211"/>
    </row>
    <row r="65" spans="1:10" ht="12.75" customHeight="1">
      <c r="A65" s="207"/>
      <c r="B65" s="214"/>
      <c r="C65" s="237" t="s">
        <v>1209</v>
      </c>
      <c r="D65" s="238" t="s">
        <v>1210</v>
      </c>
      <c r="E65" s="239" t="s">
        <v>1211</v>
      </c>
      <c r="F65" s="239"/>
      <c r="G65" s="239"/>
      <c r="H65" s="239"/>
      <c r="I65" s="240"/>
      <c r="J65" s="211"/>
    </row>
    <row r="66" spans="1:10" ht="12.75" customHeight="1">
      <c r="A66" s="207"/>
      <c r="B66" s="214"/>
      <c r="C66" s="241"/>
      <c r="D66" s="242"/>
      <c r="E66" s="213"/>
      <c r="F66" s="213"/>
      <c r="G66" s="213"/>
      <c r="H66" s="213"/>
      <c r="I66" s="213"/>
      <c r="J66" s="211"/>
    </row>
    <row r="67" spans="1:10" ht="13.15" customHeight="1">
      <c r="A67" s="207"/>
      <c r="B67" s="207"/>
      <c r="C67" s="207"/>
      <c r="D67" s="243"/>
      <c r="E67" s="244"/>
      <c r="F67" s="244"/>
      <c r="G67" s="244"/>
      <c r="H67" s="244"/>
      <c r="I67" s="244"/>
      <c r="J67" s="211"/>
    </row>
    <row r="68" spans="1:10">
      <c r="C68" s="245" t="s">
        <v>1212</v>
      </c>
      <c r="D68" s="246"/>
      <c r="E68" s="247"/>
      <c r="F68" s="247"/>
      <c r="G68" s="247"/>
    </row>
    <row r="69" spans="1:10">
      <c r="C69" s="249"/>
      <c r="D69" s="246"/>
      <c r="E69" s="247"/>
      <c r="F69" s="247"/>
      <c r="G69" s="247"/>
    </row>
  </sheetData>
  <mergeCells count="8">
    <mergeCell ref="A1:B5"/>
    <mergeCell ref="B23:D23"/>
    <mergeCell ref="E22:E24"/>
    <mergeCell ref="I22:I24"/>
    <mergeCell ref="A21:D21"/>
    <mergeCell ref="A25:D25"/>
    <mergeCell ref="E64:I64"/>
    <mergeCell ref="E65:I65"/>
  </mergeCells>
  <pageMargins left="0.7" right="0.7" top="0.75" bottom="0.75" header="0.3" footer="0.3"/>
  <pageSetup paperSize="9" scale="75" orientation="portrait" horizontalDpi="300" verticalDpi="300" r:id="rId1"/>
  <colBreaks count="1" manualBreakCount="1">
    <brk id="9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D0B66-08DA-47C6-B1C8-40F0DE3A4311}">
  <sheetPr codeName="Sheet9"/>
  <dimension ref="A2:B42"/>
  <sheetViews>
    <sheetView workbookViewId="0">
      <selection activeCell="H2" sqref="H2"/>
    </sheetView>
  </sheetViews>
  <sheetFormatPr defaultRowHeight="15"/>
  <cols>
    <col min="2" max="2" width="11" bestFit="1" customWidth="1"/>
  </cols>
  <sheetData>
    <row r="2" spans="1:2">
      <c r="A2" t="s">
        <v>1220</v>
      </c>
      <c r="B2">
        <v>338046600</v>
      </c>
    </row>
    <row r="3" spans="1:2">
      <c r="A3" t="s">
        <v>1220</v>
      </c>
      <c r="B3">
        <v>499259402</v>
      </c>
    </row>
    <row r="4" spans="1:2">
      <c r="A4" t="s">
        <v>1221</v>
      </c>
      <c r="B4">
        <v>321643163</v>
      </c>
    </row>
    <row r="5" spans="1:2">
      <c r="A5" t="s">
        <v>1221</v>
      </c>
      <c r="B5">
        <v>78502600</v>
      </c>
    </row>
    <row r="6" spans="1:2">
      <c r="A6" t="s">
        <v>1221</v>
      </c>
      <c r="B6">
        <v>233795400</v>
      </c>
    </row>
    <row r="7" spans="1:2">
      <c r="A7" t="s">
        <v>1221</v>
      </c>
      <c r="B7">
        <v>212515800</v>
      </c>
    </row>
    <row r="8" spans="1:2">
      <c r="A8" t="s">
        <v>1221</v>
      </c>
      <c r="B8">
        <v>338046600</v>
      </c>
    </row>
    <row r="9" spans="1:2">
      <c r="A9" t="s">
        <v>1221</v>
      </c>
      <c r="B9">
        <v>447312925</v>
      </c>
    </row>
    <row r="10" spans="1:2">
      <c r="A10" t="s">
        <v>1221</v>
      </c>
      <c r="B10">
        <v>211913000</v>
      </c>
    </row>
    <row r="11" spans="1:2">
      <c r="A11" t="s">
        <v>1221</v>
      </c>
      <c r="B11">
        <v>263663000</v>
      </c>
    </row>
    <row r="12" spans="1:2">
      <c r="A12" t="s">
        <v>1221</v>
      </c>
      <c r="B12">
        <v>188857</v>
      </c>
    </row>
    <row r="13" spans="1:2">
      <c r="A13" t="s">
        <v>1221</v>
      </c>
      <c r="B13">
        <v>292674800</v>
      </c>
    </row>
    <row r="14" spans="1:2">
      <c r="A14" t="s">
        <v>1221</v>
      </c>
      <c r="B14">
        <v>340919225</v>
      </c>
    </row>
    <row r="15" spans="1:2">
      <c r="A15" t="s">
        <v>1221</v>
      </c>
      <c r="B15">
        <v>340919225</v>
      </c>
    </row>
    <row r="16" spans="1:2">
      <c r="A16" t="s">
        <v>1221</v>
      </c>
      <c r="B16">
        <v>121208793</v>
      </c>
    </row>
    <row r="17" spans="1:2">
      <c r="A17" t="s">
        <v>1221</v>
      </c>
      <c r="B17">
        <v>264981024</v>
      </c>
    </row>
    <row r="18" spans="1:2">
      <c r="A18" t="s">
        <v>1221</v>
      </c>
      <c r="B18">
        <v>65820782</v>
      </c>
    </row>
    <row r="19" spans="1:2">
      <c r="A19" t="s">
        <v>1221</v>
      </c>
      <c r="B19">
        <v>470113069</v>
      </c>
    </row>
    <row r="20" spans="1:2">
      <c r="A20" t="s">
        <v>1221</v>
      </c>
      <c r="B20">
        <v>4547955</v>
      </c>
    </row>
    <row r="21" spans="1:2">
      <c r="A21" t="s">
        <v>1221</v>
      </c>
      <c r="B21">
        <v>7292250</v>
      </c>
    </row>
    <row r="22" spans="1:2">
      <c r="A22" t="s">
        <v>1221</v>
      </c>
      <c r="B22">
        <v>95107851</v>
      </c>
    </row>
    <row r="23" spans="1:2">
      <c r="A23" t="s">
        <v>1221</v>
      </c>
      <c r="B23">
        <v>41001005</v>
      </c>
    </row>
    <row r="24" spans="1:2">
      <c r="A24" t="s">
        <v>1221</v>
      </c>
      <c r="B24">
        <v>3633002</v>
      </c>
    </row>
    <row r="25" spans="1:2">
      <c r="A25" t="s">
        <v>1221</v>
      </c>
      <c r="B25">
        <v>247500</v>
      </c>
    </row>
    <row r="26" spans="1:2">
      <c r="A26" t="s">
        <v>1221</v>
      </c>
      <c r="B26">
        <v>340919225</v>
      </c>
    </row>
    <row r="27" spans="1:2">
      <c r="A27" t="s">
        <v>1221</v>
      </c>
      <c r="B27">
        <v>1067411891</v>
      </c>
    </row>
    <row r="28" spans="1:2">
      <c r="A28" t="s">
        <v>1221</v>
      </c>
      <c r="B28">
        <v>122190479</v>
      </c>
    </row>
    <row r="29" spans="1:2">
      <c r="A29" t="s">
        <v>1221</v>
      </c>
      <c r="B29">
        <v>28218258</v>
      </c>
    </row>
    <row r="30" spans="1:2">
      <c r="A30" t="s">
        <v>1221</v>
      </c>
      <c r="B30">
        <v>28218258</v>
      </c>
    </row>
    <row r="31" spans="1:2">
      <c r="A31" t="s">
        <v>1221</v>
      </c>
      <c r="B31">
        <v>25880000</v>
      </c>
    </row>
    <row r="32" spans="1:2">
      <c r="A32" t="s">
        <v>1221</v>
      </c>
      <c r="B32">
        <v>1232344008</v>
      </c>
    </row>
    <row r="33" spans="1:2">
      <c r="A33" t="s">
        <v>1221</v>
      </c>
      <c r="B33">
        <v>114404138</v>
      </c>
    </row>
    <row r="34" spans="1:2">
      <c r="A34" t="s">
        <v>1221</v>
      </c>
      <c r="B34">
        <v>104870441</v>
      </c>
    </row>
    <row r="35" spans="1:2">
      <c r="A35" t="s">
        <v>1221</v>
      </c>
      <c r="B35">
        <v>391594600</v>
      </c>
    </row>
    <row r="36" spans="1:2">
      <c r="A36" t="s">
        <v>1221</v>
      </c>
      <c r="B36">
        <v>288579000</v>
      </c>
    </row>
    <row r="37" spans="1:2">
      <c r="A37" t="s">
        <v>1221</v>
      </c>
      <c r="B37">
        <v>293146000</v>
      </c>
    </row>
    <row r="38" spans="1:2">
      <c r="A38" t="s">
        <v>1221</v>
      </c>
      <c r="B38">
        <v>28257984</v>
      </c>
    </row>
    <row r="39" spans="1:2">
      <c r="A39" t="s">
        <v>1221</v>
      </c>
      <c r="B39">
        <v>25920000</v>
      </c>
    </row>
    <row r="40" spans="1:2">
      <c r="A40" t="s">
        <v>1221</v>
      </c>
      <c r="B40">
        <v>129178800</v>
      </c>
    </row>
    <row r="41" spans="1:2">
      <c r="A41" t="s">
        <v>1221</v>
      </c>
      <c r="B41">
        <v>296492000</v>
      </c>
    </row>
    <row r="42" spans="1:2">
      <c r="A42" t="s">
        <v>1221</v>
      </c>
      <c r="B42">
        <v>280803360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20DB2-5BC9-43F1-89CF-7443EC5E816E}">
  <sheetPr codeName="Sheet2"/>
  <dimension ref="A1:H718"/>
  <sheetViews>
    <sheetView topLeftCell="A236" zoomScale="115" zoomScaleNormal="115" workbookViewId="0">
      <selection activeCell="C222" sqref="C222:C245"/>
    </sheetView>
  </sheetViews>
  <sheetFormatPr defaultColWidth="17.28515625" defaultRowHeight="15"/>
  <cols>
    <col min="1" max="1" width="4.42578125" style="63" customWidth="1"/>
    <col min="2" max="2" width="2.42578125" style="63" customWidth="1"/>
    <col min="3" max="3" width="69" style="63" bestFit="1" customWidth="1"/>
    <col min="4" max="4" width="96.85546875" style="63" customWidth="1"/>
    <col min="5" max="5" width="22.7109375" style="106" customWidth="1"/>
    <col min="6" max="6" width="2.7109375" style="106" customWidth="1"/>
    <col min="7" max="7" width="22.7109375" style="106" customWidth="1"/>
    <col min="8" max="8" width="7.28515625" style="69" customWidth="1"/>
    <col min="9" max="16384" width="17.28515625" style="63"/>
  </cols>
  <sheetData>
    <row r="1" spans="1:8">
      <c r="E1" s="68"/>
      <c r="F1" s="68"/>
      <c r="G1" s="68"/>
    </row>
    <row r="2" spans="1:8" ht="12.75" customHeight="1">
      <c r="A2" s="70"/>
      <c r="B2" s="70" t="s">
        <v>1144</v>
      </c>
      <c r="C2" s="71"/>
      <c r="D2" s="72"/>
      <c r="E2" s="68"/>
      <c r="F2" s="68"/>
      <c r="G2" s="68"/>
      <c r="H2" s="73"/>
    </row>
    <row r="3" spans="1:8" ht="12.75" customHeight="1">
      <c r="A3" s="70"/>
      <c r="B3" s="70" t="s">
        <v>1145</v>
      </c>
      <c r="C3" s="71"/>
      <c r="D3" s="72"/>
      <c r="E3" s="68"/>
      <c r="F3" s="68"/>
      <c r="G3" s="68"/>
      <c r="H3" s="74"/>
    </row>
    <row r="4" spans="1:8" ht="12.75" customHeight="1">
      <c r="A4" s="70"/>
      <c r="B4" s="75" t="s">
        <v>1146</v>
      </c>
      <c r="C4" s="76"/>
      <c r="D4" s="77"/>
      <c r="E4" s="68"/>
      <c r="F4" s="68"/>
      <c r="G4" s="68"/>
      <c r="H4" s="74"/>
    </row>
    <row r="5" spans="1:8" ht="12.75" customHeight="1">
      <c r="A5" s="78"/>
      <c r="B5" s="71"/>
      <c r="C5" s="71"/>
      <c r="D5" s="71"/>
      <c r="E5" s="68"/>
      <c r="F5" s="68"/>
      <c r="G5" s="68"/>
      <c r="H5" s="74"/>
    </row>
    <row r="6" spans="1:8">
      <c r="A6" s="78"/>
      <c r="B6" s="71" t="s">
        <v>1153</v>
      </c>
      <c r="C6" s="71"/>
      <c r="D6" s="70"/>
      <c r="E6" s="79" t="s">
        <v>1147</v>
      </c>
      <c r="F6" s="79"/>
      <c r="G6" s="79" t="s">
        <v>1149</v>
      </c>
      <c r="H6" s="74"/>
    </row>
    <row r="7" spans="1:8" ht="12.75" customHeight="1" thickBot="1">
      <c r="A7" s="78"/>
      <c r="B7" s="71" t="s">
        <v>1154</v>
      </c>
      <c r="C7" s="71"/>
      <c r="D7" s="70"/>
      <c r="E7" s="79" t="s">
        <v>1150</v>
      </c>
      <c r="F7" s="79"/>
      <c r="G7" s="79" t="s">
        <v>1150</v>
      </c>
      <c r="H7" s="74"/>
    </row>
    <row r="8" spans="1:8" ht="12.75" customHeight="1" thickTop="1">
      <c r="A8" s="78"/>
      <c r="C8" s="80" t="s">
        <v>1155</v>
      </c>
      <c r="D8" s="81"/>
      <c r="E8" s="82"/>
      <c r="F8" s="82"/>
      <c r="G8" s="83"/>
      <c r="H8" s="84"/>
    </row>
    <row r="9" spans="1:8" ht="12.75" customHeight="1">
      <c r="A9" s="78"/>
      <c r="B9" s="71"/>
      <c r="C9" s="85"/>
      <c r="D9" s="62"/>
      <c r="E9" s="86">
        <v>200000000</v>
      </c>
      <c r="F9" s="86"/>
      <c r="G9" s="87">
        <v>200000000</v>
      </c>
      <c r="H9" s="84"/>
    </row>
    <row r="10" spans="1:8" ht="12.75" customHeight="1">
      <c r="A10" s="78"/>
      <c r="B10" s="71"/>
      <c r="C10" s="85"/>
      <c r="D10" s="88" t="str">
        <f>+Income!B27</f>
        <v>7082.01 - Selling Services - All Imports Import-Truck-Bulk-Pass</v>
      </c>
      <c r="E10" s="86"/>
      <c r="F10" s="86"/>
      <c r="G10" s="87"/>
      <c r="H10" s="84"/>
    </row>
    <row r="11" spans="1:8" ht="12.75" customHeight="1">
      <c r="A11" s="78"/>
      <c r="B11" s="71"/>
      <c r="C11" s="85"/>
      <c r="D11" s="88" t="str">
        <f>+Income!B28</f>
        <v>7082.02 - Selling Services - All Imports Import-Truck-FCL-PASS</v>
      </c>
      <c r="E11" s="86"/>
      <c r="F11" s="86"/>
      <c r="G11" s="87"/>
      <c r="H11" s="84"/>
    </row>
    <row r="12" spans="1:8" ht="12.75" customHeight="1">
      <c r="A12" s="78"/>
      <c r="B12" s="71"/>
      <c r="C12" s="85"/>
      <c r="D12" s="88" t="str">
        <f>+Income!B29</f>
        <v>7082.03 - Sales of services - all importation - Import-Truck-Gas&amp;Oil</v>
      </c>
      <c r="E12" s="86"/>
      <c r="F12" s="86"/>
      <c r="G12" s="87"/>
      <c r="H12" s="84"/>
    </row>
    <row r="13" spans="1:8" ht="12.75" customHeight="1">
      <c r="A13" s="78"/>
      <c r="B13" s="71"/>
      <c r="C13" s="85"/>
      <c r="D13" s="88" t="str">
        <f>+Income!B30</f>
        <v>7082.04 - Selling Services - All Imports Import-Truck-Bulk-Swap</v>
      </c>
      <c r="E13" s="86"/>
      <c r="F13" s="86"/>
      <c r="G13" s="87"/>
      <c r="H13" s="84"/>
    </row>
    <row r="14" spans="1:8" ht="12.75" customHeight="1">
      <c r="A14" s="78"/>
      <c r="B14" s="71"/>
      <c r="C14" s="85"/>
      <c r="D14" s="88" t="str">
        <f>+Income!B31</f>
        <v>7082.05 - Selling Services - All Imports Import-Truck-FCL-Swap</v>
      </c>
      <c r="E14" s="86"/>
      <c r="F14" s="86"/>
      <c r="G14" s="87"/>
      <c r="H14" s="84"/>
    </row>
    <row r="15" spans="1:8" ht="12.75" customHeight="1">
      <c r="A15" s="78"/>
      <c r="B15" s="71"/>
      <c r="C15" s="85"/>
      <c r="D15" s="88" t="str">
        <f>+Income!B32</f>
        <v>7082.06 - Selling Services - All Imports Empty-Truck-Domestic</v>
      </c>
      <c r="E15" s="86"/>
      <c r="F15" s="86"/>
      <c r="G15" s="87"/>
      <c r="H15" s="84"/>
    </row>
    <row r="16" spans="1:8" ht="12.75" customHeight="1">
      <c r="A16" s="78"/>
      <c r="B16" s="71"/>
      <c r="C16" s="85"/>
      <c r="D16" s="88" t="str">
        <f>+Income!B33</f>
        <v>7082.07 - Sale of services - all imports Import-Truck-FCL</v>
      </c>
      <c r="E16" s="86"/>
      <c r="F16" s="86"/>
      <c r="G16" s="87"/>
      <c r="H16" s="84"/>
    </row>
    <row r="17" spans="1:8" ht="12.75" customHeight="1">
      <c r="A17" s="78"/>
      <c r="B17" s="71"/>
      <c r="C17" s="85"/>
      <c r="D17" s="88" t="str">
        <f>+Income!B34</f>
        <v>7082.08 - Selling Services - All Imports Import-Truck-Bulk-LCL-Drop</v>
      </c>
      <c r="E17" s="86"/>
      <c r="F17" s="86"/>
      <c r="G17" s="87"/>
      <c r="H17" s="84"/>
    </row>
    <row r="18" spans="1:8" ht="12.75" customHeight="1">
      <c r="A18" s="78"/>
      <c r="B18" s="71"/>
      <c r="C18" s="85"/>
      <c r="D18" s="88" t="str">
        <f>+Income!B35</f>
        <v>7082.09 - Selling services - all importation - Import-Truck-LCL-Drop</v>
      </c>
      <c r="E18" s="86"/>
      <c r="F18" s="86"/>
      <c r="G18" s="87"/>
      <c r="H18" s="84"/>
    </row>
    <row r="19" spans="1:8" ht="12.75" customHeight="1">
      <c r="A19" s="78"/>
      <c r="B19" s="71"/>
      <c r="C19" s="85"/>
      <c r="D19" s="88" t="str">
        <f>+Income!B36</f>
        <v>7082.10 - Selling services - all imports Import-Rail Thai - FCL</v>
      </c>
      <c r="E19" s="86"/>
      <c r="F19" s="86"/>
      <c r="G19" s="87"/>
      <c r="H19" s="84"/>
    </row>
    <row r="20" spans="1:8" ht="12.75" customHeight="1">
      <c r="A20" s="78"/>
      <c r="B20" s="71"/>
      <c r="C20" s="85"/>
      <c r="D20" s="88" t="str">
        <f>+Income!B37</f>
        <v>7082.11 - Selling services - all import - Thai Rail Import - LCL</v>
      </c>
      <c r="E20" s="86"/>
      <c r="F20" s="86"/>
      <c r="G20" s="87"/>
      <c r="H20" s="84"/>
    </row>
    <row r="21" spans="1:8" ht="12.75" customHeight="1">
      <c r="A21" s="78"/>
      <c r="B21" s="71"/>
      <c r="C21" s="85"/>
      <c r="D21" s="88" t="str">
        <f>+Income!B38</f>
        <v>7082.12 - Selling Services - All Imports Import-Rail Thai - LCL-Truck Pickup</v>
      </c>
      <c r="E21" s="86"/>
      <c r="F21" s="86"/>
      <c r="G21" s="87"/>
      <c r="H21" s="84"/>
    </row>
    <row r="22" spans="1:8" ht="12.75" customHeight="1">
      <c r="A22" s="78"/>
      <c r="B22" s="71"/>
      <c r="C22" s="85"/>
      <c r="D22" s="88" t="str">
        <f>+Income!B39</f>
        <v>7082.13 - Sell Services - All Imports Import-Rail China - FCL-TruckPASS</v>
      </c>
      <c r="E22" s="86"/>
      <c r="F22" s="86"/>
      <c r="G22" s="87"/>
      <c r="H22" s="84"/>
    </row>
    <row r="23" spans="1:8" ht="12.75" customHeight="1">
      <c r="A23" s="78"/>
      <c r="B23" s="71"/>
      <c r="C23" s="85"/>
      <c r="D23" s="88" t="str">
        <f>+Income!B40</f>
        <v>7082.14 - Selling Services - All Imports Import-Rail China - LCL - TruckDrop</v>
      </c>
      <c r="E23" s="86"/>
      <c r="F23" s="86"/>
      <c r="G23" s="87"/>
      <c r="H23" s="84"/>
    </row>
    <row r="24" spans="1:8" ht="12.75" customHeight="1">
      <c r="A24" s="78"/>
      <c r="B24" s="71"/>
      <c r="C24" s="85"/>
      <c r="D24" s="88" t="str">
        <f>+Income!B41</f>
        <v>7082.15 - Sell Services - All Imports Import-Rail China - LCL-Truck Pickup</v>
      </c>
      <c r="E24" s="86"/>
      <c r="F24" s="86"/>
      <c r="G24" s="87"/>
      <c r="H24" s="84"/>
    </row>
    <row r="25" spans="1:8" ht="12.75" customHeight="1">
      <c r="A25" s="78"/>
      <c r="B25" s="71"/>
      <c r="C25" s="85"/>
      <c r="D25" s="88" t="str">
        <f>+Income!B42</f>
        <v>7082.16 - Sales Service - All Import MTY-Truck-Bulk-LCL-Pickup-Inter</v>
      </c>
      <c r="E25" s="86"/>
      <c r="F25" s="86"/>
      <c r="G25" s="87"/>
      <c r="H25" s="84"/>
    </row>
    <row r="26" spans="1:8" ht="12.75" customHeight="1">
      <c r="A26" s="78"/>
      <c r="B26" s="71"/>
      <c r="C26" s="85"/>
      <c r="D26" s="88" t="str">
        <f>+Income!B43</f>
        <v>7082.17 - Selling Services - All Imports Import-Rail Thai - DIR</v>
      </c>
      <c r="E26" s="86"/>
      <c r="F26" s="86"/>
      <c r="G26" s="87"/>
      <c r="H26" s="84"/>
    </row>
    <row r="27" spans="1:8" ht="12.75" customHeight="1">
      <c r="A27" s="78"/>
      <c r="B27" s="71"/>
      <c r="C27" s="85"/>
      <c r="D27" s="88" t="str">
        <f>+Income!B44</f>
        <v>7082.18 - Selling Services - All Imports Import-Rail Thai - DIR-Truck Pickup</v>
      </c>
      <c r="E27" s="86"/>
      <c r="F27" s="86"/>
      <c r="G27" s="87"/>
      <c r="H27" s="84"/>
    </row>
    <row r="28" spans="1:8" ht="12.75" customHeight="1">
      <c r="A28" s="78"/>
      <c r="B28" s="71"/>
      <c r="C28" s="85"/>
      <c r="D28" s="88" t="str">
        <f>+Income!B45</f>
        <v>7082.19 - Sell Services - All Imports Import-Rail China - FCL</v>
      </c>
      <c r="E28" s="86"/>
      <c r="F28" s="86"/>
      <c r="G28" s="87"/>
      <c r="H28" s="84"/>
    </row>
    <row r="29" spans="1:8" ht="12.75" customHeight="1">
      <c r="A29" s="78"/>
      <c r="B29" s="71"/>
      <c r="C29" s="85"/>
      <c r="D29" s="88" t="str">
        <f>+Income!B46</f>
        <v>7082.20 - Selling Services-All Imports Import-Rail China - DIR</v>
      </c>
      <c r="E29" s="86"/>
      <c r="F29" s="86"/>
      <c r="G29" s="87"/>
      <c r="H29" s="84"/>
    </row>
    <row r="30" spans="1:8" ht="12.75" customHeight="1">
      <c r="A30" s="78"/>
      <c r="B30" s="71"/>
      <c r="C30" s="85"/>
      <c r="D30" s="88" t="str">
        <f>+Income!B47</f>
        <v>7082.21 - Sales Services - All Imports Import-Rail China - LCL-Truck Pickup</v>
      </c>
      <c r="E30" s="86"/>
      <c r="F30" s="86"/>
      <c r="G30" s="87"/>
      <c r="H30" s="84"/>
    </row>
    <row r="31" spans="1:8" ht="12.75" customHeight="1">
      <c r="A31" s="78"/>
      <c r="B31" s="71"/>
      <c r="C31" s="85"/>
      <c r="D31" s="88" t="str">
        <f>+Income!B48</f>
        <v>7082.22 - Selling services - all import - Truck Pickup</v>
      </c>
      <c r="E31" s="86"/>
      <c r="F31" s="86"/>
      <c r="G31" s="87"/>
      <c r="H31" s="84"/>
    </row>
    <row r="32" spans="1:8" ht="12.75" customHeight="1">
      <c r="A32" s="78"/>
      <c r="B32" s="71"/>
      <c r="C32" s="85"/>
      <c r="D32" s="88" t="str">
        <f>+Income!B49</f>
        <v>7082.23 - Sale of services - all imports Import-Truck-LCL</v>
      </c>
      <c r="E32" s="86"/>
      <c r="F32" s="86"/>
      <c r="G32" s="87"/>
      <c r="H32" s="84"/>
    </row>
    <row r="33" spans="1:8" ht="12.75" customHeight="1">
      <c r="A33" s="78"/>
      <c r="B33" s="71"/>
      <c r="C33" s="85"/>
      <c r="D33" s="88" t="str">
        <f>+Income!B50</f>
        <v>7082.24 - Sale of services - all imports Import-Truck Pickup1</v>
      </c>
      <c r="E33" s="86"/>
      <c r="F33" s="86"/>
      <c r="G33" s="87"/>
      <c r="H33" s="84"/>
    </row>
    <row r="34" spans="1:8" ht="12.75" customHeight="1">
      <c r="A34" s="78"/>
      <c r="B34" s="71"/>
      <c r="C34" s="85"/>
      <c r="D34" s="88" t="str">
        <f>+Income!B51</f>
        <v>7082.25 - Selling services - all importation - Import-Truck-LCL</v>
      </c>
      <c r="E34" s="86"/>
      <c r="F34" s="86"/>
      <c r="G34" s="87"/>
      <c r="H34" s="84"/>
    </row>
    <row r="35" spans="1:8" ht="12.75" customHeight="1">
      <c r="A35" s="78"/>
      <c r="B35" s="71"/>
      <c r="C35" s="85"/>
      <c r="D35" s="88" t="str">
        <f>+Income!B52</f>
        <v>7082.26 - Selling services-all importation Import-Truck Pickup1</v>
      </c>
      <c r="E35" s="86"/>
      <c r="F35" s="86"/>
      <c r="G35" s="87"/>
      <c r="H35" s="84"/>
    </row>
    <row r="36" spans="1:8" ht="12.75" customHeight="1">
      <c r="A36" s="78"/>
      <c r="B36" s="71"/>
      <c r="C36" s="85"/>
      <c r="D36" s="88" t="str">
        <f>+Income!B53</f>
        <v>7082.27 - Selling services - all importation - Import-Truck-Bulk-LCL-Pickup</v>
      </c>
      <c r="E36" s="86"/>
      <c r="F36" s="86"/>
      <c r="G36" s="87"/>
      <c r="H36" s="84"/>
    </row>
    <row r="37" spans="1:8" ht="12.75" customHeight="1">
      <c r="A37" s="78"/>
      <c r="B37" s="71"/>
      <c r="C37" s="85"/>
      <c r="D37" s="88" t="str">
        <f>+Income!B54</f>
        <v>7082.28 - Sale of services - all imports Import-Truck-LCL-Pickup (by Container)</v>
      </c>
      <c r="E37" s="86"/>
      <c r="F37" s="86"/>
      <c r="G37" s="87"/>
      <c r="H37" s="84"/>
    </row>
    <row r="38" spans="1:8" ht="12.75" customHeight="1">
      <c r="A38" s="78"/>
      <c r="B38" s="71"/>
      <c r="C38" s="85"/>
      <c r="D38" s="88" t="str">
        <f>+Income!B55</f>
        <v>7082.29 - Selling Services - All Imports Import-Truck-LCL-Vehicle</v>
      </c>
      <c r="E38" s="86"/>
      <c r="F38" s="86"/>
      <c r="G38" s="87"/>
      <c r="H38" s="84"/>
    </row>
    <row r="39" spans="1:8" ht="12.75" customHeight="1" thickBot="1">
      <c r="A39" s="78"/>
      <c r="B39" s="71"/>
      <c r="C39" s="89"/>
      <c r="D39" s="90"/>
      <c r="E39" s="91"/>
      <c r="F39" s="91"/>
      <c r="G39" s="92"/>
      <c r="H39" s="84"/>
    </row>
    <row r="40" spans="1:8" ht="12.75" customHeight="1" thickTop="1">
      <c r="A40" s="78"/>
      <c r="B40" s="71"/>
      <c r="C40" s="71"/>
      <c r="D40" s="71"/>
      <c r="E40" s="68"/>
      <c r="F40" s="68"/>
      <c r="G40" s="68"/>
      <c r="H40" s="74"/>
    </row>
    <row r="41" spans="1:8" ht="12.75" customHeight="1" thickBot="1">
      <c r="A41" s="78"/>
      <c r="B41" s="71"/>
      <c r="C41" s="71"/>
      <c r="D41" s="71"/>
      <c r="E41" s="68"/>
      <c r="F41" s="68"/>
      <c r="G41" s="68"/>
      <c r="H41" s="74"/>
    </row>
    <row r="42" spans="1:8" ht="12.75" customHeight="1" thickTop="1">
      <c r="A42" s="78"/>
      <c r="B42" s="71" t="s">
        <v>1156</v>
      </c>
      <c r="C42" s="80" t="s">
        <v>1157</v>
      </c>
      <c r="D42" s="81"/>
      <c r="E42" s="82"/>
      <c r="F42" s="82"/>
      <c r="G42" s="83"/>
      <c r="H42" s="84"/>
    </row>
    <row r="43" spans="1:8" ht="12.75" customHeight="1">
      <c r="A43" s="78"/>
      <c r="B43" s="71"/>
      <c r="C43" s="85"/>
      <c r="D43" s="88" t="str">
        <f>+Income!B57</f>
        <v>7083.01 - Selling Services - All Exports Export-T-Truck-FCL-PASS</v>
      </c>
      <c r="E43" s="86">
        <v>200000000</v>
      </c>
      <c r="F43" s="86"/>
      <c r="G43" s="87">
        <v>200000000</v>
      </c>
      <c r="H43" s="84"/>
    </row>
    <row r="44" spans="1:8" ht="12.75" customHeight="1">
      <c r="A44" s="78"/>
      <c r="B44" s="71"/>
      <c r="C44" s="85"/>
      <c r="D44" s="88" t="str">
        <f>+Income!B58</f>
        <v>7083.02 - Selling services - all exports Export-Truck-Bulk-LCL</v>
      </c>
      <c r="E44" s="86"/>
      <c r="F44" s="86"/>
      <c r="G44" s="87"/>
      <c r="H44" s="84"/>
    </row>
    <row r="45" spans="1:8" ht="12.75" customHeight="1">
      <c r="A45" s="78"/>
      <c r="B45" s="71"/>
      <c r="C45" s="85"/>
      <c r="D45" s="88" t="str">
        <f>+Income!B59</f>
        <v>7083.03 - Selling Services - All Exports Export-L-Truck-FCL-PASS</v>
      </c>
      <c r="E45" s="86"/>
      <c r="F45" s="86"/>
      <c r="G45" s="87"/>
      <c r="H45" s="84"/>
    </row>
    <row r="46" spans="1:8" ht="12.75" customHeight="1">
      <c r="A46" s="78"/>
      <c r="B46" s="71"/>
      <c r="C46" s="85"/>
      <c r="D46" s="88" t="str">
        <f>+Income!B60</f>
        <v>7083.04 - Selling services-all exports Export-Truck-FCL-SWAP</v>
      </c>
      <c r="E46" s="86"/>
      <c r="F46" s="86"/>
      <c r="G46" s="87"/>
      <c r="H46" s="84"/>
    </row>
    <row r="47" spans="1:8" ht="12.75" customHeight="1">
      <c r="A47" s="78"/>
      <c r="B47" s="71"/>
      <c r="C47" s="85"/>
      <c r="D47" s="88" t="str">
        <f>+Income!B61</f>
        <v>7083.05 - Selling services-all exports Export-Truck-FCL-LOLO</v>
      </c>
      <c r="E47" s="86"/>
      <c r="F47" s="86"/>
      <c r="G47" s="87"/>
      <c r="H47" s="84"/>
    </row>
    <row r="48" spans="1:8" ht="12.75" customHeight="1">
      <c r="A48" s="78"/>
      <c r="B48" s="71"/>
      <c r="C48" s="85"/>
      <c r="D48" s="88" t="str">
        <f>+Income!B62</f>
        <v>7083.06 - Selling Services - All Exports Export-Rail China - FCL-TruckPASS</v>
      </c>
      <c r="E48" s="86"/>
      <c r="F48" s="86"/>
      <c r="G48" s="87"/>
      <c r="H48" s="84"/>
    </row>
    <row r="49" spans="1:8" ht="12.75" customHeight="1">
      <c r="A49" s="78"/>
      <c r="B49" s="71"/>
      <c r="C49" s="85"/>
      <c r="D49" s="88" t="str">
        <f>+Income!B63</f>
        <v>7083.07 - Selling services-all exports Export-Rail Thai-TruckFCL</v>
      </c>
      <c r="E49" s="86"/>
      <c r="F49" s="86"/>
      <c r="G49" s="87"/>
      <c r="H49" s="84"/>
    </row>
    <row r="50" spans="1:8" ht="12.75" customHeight="1">
      <c r="A50" s="78"/>
      <c r="B50" s="71"/>
      <c r="C50" s="85"/>
      <c r="D50" s="88" t="str">
        <f>+Income!B64</f>
        <v>7083.08 - Selling services-all exports Export-Rail China-TruckFCL</v>
      </c>
      <c r="E50" s="86"/>
      <c r="F50" s="86"/>
      <c r="G50" s="87"/>
      <c r="H50" s="84"/>
    </row>
    <row r="51" spans="1:8" ht="12.75" customHeight="1">
      <c r="A51" s="78"/>
      <c r="B51" s="71"/>
      <c r="C51" s="85"/>
      <c r="D51" s="88" t="str">
        <f>+Income!B65</f>
        <v>7083.09 - Selling services - all exports Export-Truck-LCL-Drop</v>
      </c>
      <c r="E51" s="86"/>
      <c r="F51" s="86"/>
      <c r="G51" s="87"/>
      <c r="H51" s="84"/>
    </row>
    <row r="52" spans="1:8" ht="12.75" customHeight="1">
      <c r="A52" s="78"/>
      <c r="B52" s="71"/>
      <c r="C52" s="85"/>
      <c r="D52" s="88" t="str">
        <f>+Income!B66</f>
        <v>7083.10 - Selling services - all exports Export-Truck-LCL-Pickup</v>
      </c>
      <c r="E52" s="86"/>
      <c r="F52" s="86"/>
      <c r="G52" s="87"/>
      <c r="H52" s="84"/>
    </row>
    <row r="53" spans="1:8" ht="12.75" customHeight="1">
      <c r="A53" s="78"/>
      <c r="B53" s="71"/>
      <c r="C53" s="85"/>
      <c r="D53" s="88" t="str">
        <f>+Income!B67</f>
        <v>7083.11 - Selling Services - All Exports Export-LaoTruck-Bulk-PASS</v>
      </c>
      <c r="E53" s="86"/>
      <c r="F53" s="86"/>
      <c r="G53" s="87"/>
      <c r="H53" s="84"/>
    </row>
    <row r="54" spans="1:8" ht="12.75" customHeight="1">
      <c r="A54" s="78"/>
      <c r="B54" s="71"/>
      <c r="C54" s="85"/>
      <c r="D54" s="88" t="str">
        <f>+Income!B68</f>
        <v>7083.12 - Selling Services - All Exports Export-Truck-Bulk-SWAP</v>
      </c>
      <c r="E54" s="86"/>
      <c r="F54" s="86"/>
      <c r="G54" s="87"/>
      <c r="H54" s="84"/>
    </row>
    <row r="55" spans="1:8" ht="12.75" customHeight="1">
      <c r="A55" s="78"/>
      <c r="B55" s="71"/>
      <c r="C55" s="85"/>
      <c r="D55" s="88" t="str">
        <f>+Income!B69</f>
        <v>7083.13 - Selling Services - All Exports Export-T-Truck-Bulk-PASS</v>
      </c>
      <c r="E55" s="86"/>
      <c r="F55" s="86"/>
      <c r="G55" s="87"/>
      <c r="H55" s="84"/>
    </row>
    <row r="56" spans="1:8" ht="12.75" customHeight="1">
      <c r="A56" s="78"/>
      <c r="B56" s="71"/>
      <c r="C56" s="85"/>
      <c r="D56" s="88" t="str">
        <f>+Income!B70</f>
        <v>7084 - Sales of services - containers for import and export</v>
      </c>
      <c r="E56" s="86"/>
      <c r="F56" s="86"/>
      <c r="G56" s="87"/>
      <c r="H56" s="84"/>
    </row>
    <row r="57" spans="1:8" ht="12.75" customHeight="1" thickBot="1">
      <c r="A57" s="78"/>
      <c r="B57" s="71"/>
      <c r="C57" s="89"/>
      <c r="D57" s="93" t="str">
        <f>+Income!B71</f>
        <v>7084.01 - Sale of services - import and export containers</v>
      </c>
      <c r="E57" s="91"/>
      <c r="F57" s="91"/>
      <c r="G57" s="92"/>
      <c r="H57" s="84"/>
    </row>
    <row r="58" spans="1:8" ht="12.6" customHeight="1" thickTop="1">
      <c r="A58" s="78"/>
      <c r="B58" s="71"/>
      <c r="C58" s="71"/>
      <c r="D58" s="71"/>
      <c r="E58" s="68"/>
      <c r="F58" s="68"/>
      <c r="G58" s="68"/>
      <c r="H58" s="74"/>
    </row>
    <row r="59" spans="1:8" ht="12.75" customHeight="1" thickBot="1">
      <c r="A59" s="78"/>
      <c r="B59" s="71"/>
      <c r="C59" s="71"/>
      <c r="D59" s="71"/>
      <c r="E59" s="68"/>
      <c r="F59" s="68"/>
      <c r="G59" s="68"/>
      <c r="H59" s="74"/>
    </row>
    <row r="60" spans="1:8" ht="12.75" customHeight="1" thickTop="1">
      <c r="A60" s="78"/>
      <c r="B60" s="71" t="s">
        <v>1158</v>
      </c>
      <c r="C60" s="80" t="s">
        <v>1159</v>
      </c>
      <c r="D60" s="81"/>
      <c r="E60" s="82"/>
      <c r="F60" s="82"/>
      <c r="G60" s="83"/>
      <c r="H60" s="84"/>
    </row>
    <row r="61" spans="1:8" ht="12.75" customHeight="1">
      <c r="A61" s="78"/>
      <c r="B61" s="71"/>
      <c r="C61" s="85"/>
      <c r="D61" s="88" t="str">
        <f>+Income!B11</f>
        <v>7081.01 - Selling services - Transshipment - Rail Thai - Truck</v>
      </c>
      <c r="E61" s="86">
        <v>200000000</v>
      </c>
      <c r="F61" s="86"/>
      <c r="G61" s="87">
        <v>200000000</v>
      </c>
      <c r="H61" s="84"/>
    </row>
    <row r="62" spans="1:8" ht="12.75" customHeight="1">
      <c r="A62" s="78"/>
      <c r="B62" s="71"/>
      <c r="C62" s="85"/>
      <c r="D62" s="88" t="str">
        <f>+Income!B12</f>
        <v>7081.02 - Selling services - Transshipment-Truck-Truck-Rail China</v>
      </c>
      <c r="E62" s="86"/>
      <c r="F62" s="86"/>
      <c r="G62" s="87"/>
      <c r="H62" s="84"/>
    </row>
    <row r="63" spans="1:8" ht="12.75" customHeight="1">
      <c r="A63" s="78"/>
      <c r="B63" s="71"/>
      <c r="C63" s="85"/>
      <c r="D63" s="88" t="str">
        <f>+Income!B13</f>
        <v>7081.03 - Selling services - Transshipment-Rail China-Truck-LOLO</v>
      </c>
      <c r="E63" s="86"/>
      <c r="F63" s="86"/>
      <c r="G63" s="87"/>
      <c r="H63" s="84"/>
    </row>
    <row r="64" spans="1:8" ht="12.75" customHeight="1">
      <c r="A64" s="78"/>
      <c r="B64" s="71"/>
      <c r="C64" s="85"/>
      <c r="D64" s="88" t="str">
        <f>+Income!B14</f>
        <v>7081.04 - Selling services - Transshipment Train - PASS</v>
      </c>
      <c r="E64" s="86"/>
      <c r="F64" s="86"/>
      <c r="G64" s="87"/>
      <c r="H64" s="84"/>
    </row>
    <row r="65" spans="1:8" ht="12.75" customHeight="1">
      <c r="A65" s="78"/>
      <c r="B65" s="71"/>
      <c r="C65" s="85"/>
      <c r="D65" s="88" t="str">
        <f>+Income!B15</f>
        <v>7081.05 - Sale of services - Transshipment - TRUCK - TRUCK</v>
      </c>
      <c r="E65" s="86"/>
      <c r="F65" s="86"/>
      <c r="G65" s="87"/>
      <c r="H65" s="84"/>
    </row>
    <row r="66" spans="1:8" ht="12.75" customHeight="1">
      <c r="A66" s="78"/>
      <c r="B66" s="71"/>
      <c r="C66" s="85"/>
      <c r="D66" s="88" t="str">
        <f>+Income!B16</f>
        <v>7081.06 - Selling services - Transshipment-TRUCK-SWAP</v>
      </c>
      <c r="E66" s="86"/>
      <c r="F66" s="86"/>
      <c r="G66" s="87"/>
      <c r="H66" s="84"/>
    </row>
    <row r="67" spans="1:8" ht="12.75" customHeight="1">
      <c r="A67" s="78"/>
      <c r="B67" s="71"/>
      <c r="C67" s="85"/>
      <c r="D67" s="88" t="str">
        <f>+Income!B17</f>
        <v>7081.07 - Selling services - Transshipment-Rail China-Truck-SWAP</v>
      </c>
      <c r="E67" s="86"/>
      <c r="F67" s="86"/>
      <c r="G67" s="87"/>
      <c r="H67" s="84"/>
    </row>
    <row r="68" spans="1:8" ht="12.75" customHeight="1">
      <c r="A68" s="78"/>
      <c r="B68" s="71"/>
      <c r="C68" s="85"/>
      <c r="D68" s="88" t="str">
        <f>+Income!B18</f>
        <v>7081.08 - Selling services - Transshipment-Truck-Rail China</v>
      </c>
      <c r="E68" s="86"/>
      <c r="F68" s="86"/>
      <c r="G68" s="87"/>
      <c r="H68" s="84"/>
    </row>
    <row r="69" spans="1:8" ht="12.75" customHeight="1">
      <c r="A69" s="78"/>
      <c r="B69" s="71"/>
      <c r="C69" s="85"/>
      <c r="D69" s="88" t="str">
        <f>+Income!B19</f>
        <v>7081.09 - Selling services - Transshipment containers - Rail Thai to Rail China</v>
      </c>
      <c r="E69" s="86"/>
      <c r="F69" s="86"/>
      <c r="G69" s="87"/>
      <c r="H69" s="84"/>
    </row>
    <row r="70" spans="1:8" ht="12.75" customHeight="1">
      <c r="A70" s="78"/>
      <c r="B70" s="71"/>
      <c r="C70" s="85"/>
      <c r="D70" s="88" t="str">
        <f>+Income!B20</f>
        <v>7081.10 - Selling services - Transshipment - Thai to China - Swap</v>
      </c>
      <c r="E70" s="86"/>
      <c r="F70" s="86"/>
      <c r="G70" s="87"/>
      <c r="H70" s="84"/>
    </row>
    <row r="71" spans="1:8" ht="12.75" customHeight="1">
      <c r="A71" s="78"/>
      <c r="B71" s="71"/>
      <c r="C71" s="85"/>
      <c r="D71" s="88" t="str">
        <f>+Income!B21</f>
        <v>7081.11 - Selling services - Transshipment - Thai to China - PASS</v>
      </c>
      <c r="E71" s="86"/>
      <c r="F71" s="86"/>
      <c r="G71" s="87"/>
      <c r="H71" s="84"/>
    </row>
    <row r="72" spans="1:8" ht="12.75" customHeight="1">
      <c r="A72" s="78"/>
      <c r="B72" s="71"/>
      <c r="C72" s="85"/>
      <c r="D72" s="88" t="str">
        <f>+Income!B22</f>
        <v>7081.12 - Selling services - Transshipment - Rail China to Rail Thai</v>
      </c>
      <c r="E72" s="86"/>
      <c r="F72" s="86"/>
      <c r="G72" s="87"/>
      <c r="H72" s="84"/>
    </row>
    <row r="73" spans="1:8" ht="12.75" customHeight="1">
      <c r="A73" s="78"/>
      <c r="B73" s="71"/>
      <c r="C73" s="85"/>
      <c r="D73" s="88" t="str">
        <f>+Income!B23</f>
        <v>7081.13 - Selling services - Transshipment - China to Thai - Swap</v>
      </c>
      <c r="E73" s="86"/>
      <c r="F73" s="86"/>
      <c r="G73" s="87"/>
      <c r="H73" s="84"/>
    </row>
    <row r="74" spans="1:8" ht="12.75" customHeight="1">
      <c r="A74" s="78"/>
      <c r="B74" s="71"/>
      <c r="C74" s="85"/>
      <c r="D74" s="88" t="str">
        <f>+Income!B24</f>
        <v>7081.14 - Selling services - Transshipment - China to Thai - PASS</v>
      </c>
      <c r="E74" s="86"/>
      <c r="F74" s="86"/>
      <c r="G74" s="87"/>
      <c r="H74" s="84"/>
    </row>
    <row r="75" spans="1:8" ht="12.75" customHeight="1" thickBot="1">
      <c r="A75" s="78"/>
      <c r="B75" s="71"/>
      <c r="C75" s="89"/>
      <c r="D75" s="93" t="str">
        <f>+Income!B25</f>
        <v>7081.15 - Selling services - Transshipment-Rail China-Truck-LOLO</v>
      </c>
      <c r="E75" s="91"/>
      <c r="F75" s="91"/>
      <c r="G75" s="92"/>
      <c r="H75" s="84"/>
    </row>
    <row r="76" spans="1:8" ht="12.75" customHeight="1" thickTop="1">
      <c r="A76" s="78"/>
      <c r="B76" s="71" t="s">
        <v>1160</v>
      </c>
      <c r="C76" s="71" t="s">
        <v>1161</v>
      </c>
      <c r="D76" s="71"/>
      <c r="E76" s="63"/>
      <c r="F76" s="63"/>
      <c r="G76" s="63"/>
      <c r="H76" s="74"/>
    </row>
    <row r="77" spans="1:8" ht="12.75" customHeight="1">
      <c r="A77" s="78"/>
      <c r="B77" s="71"/>
      <c r="C77" s="71"/>
      <c r="D77" s="71"/>
      <c r="E77" s="63"/>
      <c r="F77" s="63"/>
      <c r="G77" s="63"/>
      <c r="H77" s="74"/>
    </row>
    <row r="78" spans="1:8" ht="32.450000000000003" customHeight="1" thickBot="1">
      <c r="A78" s="78"/>
      <c r="B78" s="71"/>
      <c r="C78" s="94" t="s">
        <v>1216</v>
      </c>
      <c r="D78" s="71"/>
      <c r="E78" s="63"/>
      <c r="F78" s="63"/>
      <c r="G78" s="63"/>
      <c r="H78" s="84"/>
    </row>
    <row r="79" spans="1:8" ht="12.75" customHeight="1" thickTop="1">
      <c r="A79" s="78"/>
      <c r="B79" s="71"/>
      <c r="C79" s="80" t="str">
        <f>+Income!A72</f>
        <v>7085 - ຂາຍ​ການ​ບໍລິການ-ງານລົດຜ່ານ EMPTY</v>
      </c>
      <c r="D79" s="81" t="str">
        <f>+Income!B72</f>
        <v>7085 - Sell car services through EMPTY</v>
      </c>
      <c r="E79" s="82"/>
      <c r="F79" s="82"/>
      <c r="G79" s="83"/>
      <c r="H79" s="84"/>
    </row>
    <row r="80" spans="1:8" ht="12.75" customHeight="1">
      <c r="A80" s="78"/>
      <c r="B80" s="71"/>
      <c r="C80" s="85"/>
      <c r="D80" s="62" t="str">
        <f>+Income!B73</f>
        <v>7085.01 - Selling service-work through Empty-Truck Pickup</v>
      </c>
      <c r="E80" s="86">
        <v>100000000</v>
      </c>
      <c r="F80" s="86"/>
      <c r="G80" s="86">
        <v>100000000</v>
      </c>
      <c r="H80" s="84"/>
    </row>
    <row r="81" spans="1:8" ht="12.75" customHeight="1">
      <c r="A81" s="78"/>
      <c r="B81" s="71"/>
      <c r="C81" s="85"/>
      <c r="D81" s="62" t="str">
        <f>+Income!B74</f>
        <v>7085.02 - Selling service-car work through Empty-Truck-PASS</v>
      </c>
      <c r="E81" s="86"/>
      <c r="F81" s="86"/>
      <c r="G81" s="87"/>
      <c r="H81" s="84"/>
    </row>
    <row r="82" spans="1:8" ht="12.75" customHeight="1">
      <c r="A82" s="78"/>
      <c r="B82" s="71"/>
      <c r="C82" s="85"/>
      <c r="D82" s="62" t="str">
        <f>+Income!B75</f>
        <v>7085.03 - Selling service-car work through Empty-Truck-Swap</v>
      </c>
      <c r="E82" s="86"/>
      <c r="F82" s="86"/>
      <c r="G82" s="87"/>
      <c r="H82" s="84"/>
    </row>
    <row r="83" spans="1:8" ht="12.75" customHeight="1">
      <c r="A83" s="78"/>
      <c r="B83" s="71"/>
      <c r="C83" s="85"/>
      <c r="D83" s="62" t="str">
        <f>+Income!B76</f>
        <v>7085.04 - Selling service-car work through Empty-Truck-MTYLOLO-Drop</v>
      </c>
      <c r="E83" s="86"/>
      <c r="F83" s="86"/>
      <c r="G83" s="87"/>
      <c r="H83" s="84"/>
    </row>
    <row r="84" spans="1:8" ht="12.75" customHeight="1">
      <c r="A84" s="78"/>
      <c r="B84" s="71"/>
      <c r="C84" s="85"/>
      <c r="D84" s="62" t="str">
        <f>+Income!B77</f>
        <v>7085.05 - Selling service-car work through Empty-Pickup-MTY-SWAP</v>
      </c>
      <c r="E84" s="86"/>
      <c r="F84" s="86"/>
      <c r="G84" s="87"/>
      <c r="H84" s="84"/>
    </row>
    <row r="85" spans="1:8" ht="12.75" customHeight="1">
      <c r="A85" s="78"/>
      <c r="B85" s="71"/>
      <c r="C85" s="85"/>
      <c r="D85" s="62" t="str">
        <f>+Income!B78</f>
        <v>7085.06 - Selling service-car work through Empty-Rail to Rail</v>
      </c>
      <c r="E85" s="86"/>
      <c r="F85" s="86"/>
      <c r="G85" s="87"/>
      <c r="H85" s="84"/>
    </row>
    <row r="86" spans="1:8" ht="12.75" customHeight="1">
      <c r="A86" s="78"/>
      <c r="B86" s="71"/>
      <c r="C86" s="85"/>
      <c r="D86" s="62" t="str">
        <f>+Income!B79</f>
        <v>7085.07 - Selling service-car work through Empty-TruckCTN-PASS</v>
      </c>
      <c r="E86" s="86"/>
      <c r="F86" s="86"/>
      <c r="G86" s="87"/>
      <c r="H86" s="84"/>
    </row>
    <row r="87" spans="1:8" ht="12.75" customHeight="1">
      <c r="A87" s="78"/>
      <c r="B87" s="71"/>
      <c r="C87" s="85"/>
      <c r="D87" s="62" t="str">
        <f>+Income!B80</f>
        <v>7085.08 - Selling service-works through Empty-RAIL THAI</v>
      </c>
      <c r="E87" s="86"/>
      <c r="F87" s="86"/>
      <c r="G87" s="87"/>
      <c r="H87" s="84"/>
    </row>
    <row r="88" spans="1:8" ht="12.75" customHeight="1">
      <c r="A88" s="78"/>
      <c r="B88" s="71"/>
      <c r="C88" s="85"/>
      <c r="D88" s="62" t="str">
        <f>+Income!B81</f>
        <v>7085.09 - Selling service-car work through Empty-RAIL THAI1</v>
      </c>
      <c r="E88" s="86"/>
      <c r="F88" s="86"/>
      <c r="G88" s="87"/>
      <c r="H88" s="84"/>
    </row>
    <row r="89" spans="1:8" ht="12.75" customHeight="1">
      <c r="A89" s="78"/>
      <c r="B89" s="71"/>
      <c r="C89" s="85"/>
      <c r="D89" s="62" t="str">
        <f>+Income!B82</f>
        <v>7085.10 - Selling service-car work through Empty-Pickup-MTYLOLO-D</v>
      </c>
      <c r="E89" s="86"/>
      <c r="F89" s="86"/>
      <c r="G89" s="87"/>
      <c r="H89" s="84"/>
    </row>
    <row r="90" spans="1:8" ht="12.75" customHeight="1">
      <c r="A90" s="78"/>
      <c r="B90" s="71"/>
      <c r="C90" s="85"/>
      <c r="D90" s="62" t="str">
        <f>+Income!B83</f>
        <v>7085.11 - Selling service-car work through Empty-Truck-TDP</v>
      </c>
      <c r="E90" s="86"/>
      <c r="F90" s="86"/>
      <c r="G90" s="87"/>
      <c r="H90" s="84"/>
    </row>
    <row r="91" spans="1:8" ht="12.75" customHeight="1">
      <c r="A91" s="78"/>
      <c r="B91" s="71"/>
      <c r="C91" s="85"/>
      <c r="D91" s="62" t="str">
        <f>+Income!B84</f>
        <v>7085.12 - Selling service-car work through Empty-TruckCTN-TDP</v>
      </c>
      <c r="E91" s="86"/>
      <c r="F91" s="86"/>
      <c r="G91" s="87"/>
      <c r="H91" s="84"/>
    </row>
    <row r="92" spans="1:8" ht="12.75" customHeight="1">
      <c r="A92" s="78"/>
      <c r="B92" s="71"/>
      <c r="C92" s="85"/>
      <c r="D92" s="62" t="str">
        <f>+Income!B85</f>
        <v>7085.13 - Selling service-car work through Empty-TruckCNT-Swap</v>
      </c>
      <c r="E92" s="86"/>
      <c r="F92" s="86"/>
      <c r="G92" s="87"/>
      <c r="H92" s="84"/>
    </row>
    <row r="93" spans="1:8" ht="12.75" customHeight="1">
      <c r="A93" s="78"/>
      <c r="B93" s="71"/>
      <c r="C93" s="85"/>
      <c r="D93" s="62" t="str">
        <f>+Income!B86</f>
        <v>7085.14 - Selling service-car work through Empty-TruckCTN-Rail</v>
      </c>
      <c r="E93" s="86"/>
      <c r="F93" s="86"/>
      <c r="G93" s="87"/>
      <c r="H93" s="84"/>
    </row>
    <row r="94" spans="1:8" ht="12.75" customHeight="1">
      <c r="A94" s="78"/>
      <c r="B94" s="71"/>
      <c r="C94" s="85"/>
      <c r="D94" s="62" t="str">
        <f>+Income!B87</f>
        <v>7085.15 - Selling service-car work through Empty-Pickup-MTYLOLO</v>
      </c>
      <c r="E94" s="86"/>
      <c r="F94" s="86"/>
      <c r="G94" s="87"/>
      <c r="H94" s="84"/>
    </row>
    <row r="95" spans="1:8" ht="12.75" customHeight="1">
      <c r="A95" s="78"/>
      <c r="B95" s="71"/>
      <c r="C95" s="85"/>
      <c r="D95" s="62" t="str">
        <f>+Income!B88</f>
        <v>7085.16 - Selling service-car work through Empty-Pickup-MTYLOLO1</v>
      </c>
      <c r="E95" s="86"/>
      <c r="F95" s="86"/>
      <c r="G95" s="87"/>
      <c r="H95" s="84"/>
    </row>
    <row r="96" spans="1:8" ht="12.75" customHeight="1">
      <c r="A96" s="78"/>
      <c r="B96" s="71"/>
      <c r="C96" s="85"/>
      <c r="D96" s="62" t="str">
        <f>+Income!B89</f>
        <v>7085.17 - Selling service-car work through Empty-Pickup-MTY</v>
      </c>
      <c r="E96" s="86"/>
      <c r="F96" s="86"/>
      <c r="G96" s="87"/>
      <c r="H96" s="84"/>
    </row>
    <row r="97" spans="1:8" ht="12.75" customHeight="1" thickBot="1">
      <c r="A97" s="78"/>
      <c r="B97" s="71"/>
      <c r="C97" s="89"/>
      <c r="D97" s="90" t="str">
        <f>+Income!B90</f>
        <v>7085.18 - Selling service-car work through Empty-Truck-Bulk-LCL-Pickup-Inter</v>
      </c>
      <c r="E97" s="91"/>
      <c r="F97" s="91"/>
      <c r="G97" s="92"/>
      <c r="H97" s="84"/>
    </row>
    <row r="98" spans="1:8" ht="12.75" customHeight="1" thickTop="1" thickBot="1">
      <c r="A98" s="78"/>
      <c r="B98" s="71"/>
      <c r="C98" s="95"/>
      <c r="D98" s="96"/>
      <c r="E98" s="97"/>
      <c r="F98" s="97"/>
      <c r="G98" s="98"/>
      <c r="H98" s="84"/>
    </row>
    <row r="99" spans="1:8" ht="12.75" customHeight="1" thickTop="1">
      <c r="A99" s="78"/>
      <c r="B99" s="71"/>
      <c r="C99" s="80"/>
      <c r="D99" s="81" t="str">
        <f>+Income!B91</f>
        <v>7086 - Selling other services</v>
      </c>
      <c r="E99" s="82"/>
      <c r="F99" s="82"/>
      <c r="G99" s="83"/>
      <c r="H99" s="84"/>
    </row>
    <row r="100" spans="1:8" ht="12.75" customHeight="1">
      <c r="A100" s="78"/>
      <c r="B100" s="71"/>
      <c r="C100" s="85" t="str">
        <f>+Income!A92</f>
        <v>7086.01 - ຂາຍ​ການ​ບໍລິການອື່ນໆ STORAGE</v>
      </c>
      <c r="D100" s="62" t="str">
        <f>+Income!B92</f>
        <v>7086.01 - Selling other services STORAGE</v>
      </c>
      <c r="E100" s="86"/>
      <c r="F100" s="86"/>
      <c r="G100" s="87"/>
      <c r="H100" s="84"/>
    </row>
    <row r="101" spans="1:8" ht="12.75" customHeight="1">
      <c r="A101" s="78"/>
      <c r="B101" s="71"/>
      <c r="C101" s="85"/>
      <c r="D101" s="62" t="str">
        <f>+Income!B93</f>
        <v>7086.02 - Sales of other CFS services</v>
      </c>
      <c r="E101" s="86"/>
      <c r="F101" s="86"/>
      <c r="G101" s="87"/>
      <c r="H101" s="84"/>
    </row>
    <row r="102" spans="1:8" ht="12.75" customHeight="1">
      <c r="A102" s="78"/>
      <c r="B102" s="71"/>
      <c r="C102" s="85"/>
      <c r="D102" s="62" t="str">
        <f>+Income!B94</f>
        <v>7086.03 - Sale of other services CY</v>
      </c>
      <c r="E102" s="86"/>
      <c r="F102" s="86"/>
      <c r="G102" s="87"/>
      <c r="H102" s="84"/>
    </row>
    <row r="103" spans="1:8" ht="12.75" customHeight="1">
      <c r="A103" s="78"/>
      <c r="B103" s="71"/>
      <c r="C103" s="85"/>
      <c r="D103" s="62" t="str">
        <f>+Income!B95</f>
        <v>7086.04 - Sale of other transport services</v>
      </c>
      <c r="E103" s="86"/>
      <c r="F103" s="86"/>
      <c r="G103" s="87"/>
      <c r="H103" s="84"/>
    </row>
    <row r="104" spans="1:8" ht="12.75" customHeight="1">
      <c r="A104" s="78"/>
      <c r="B104" s="71"/>
      <c r="C104" s="85"/>
      <c r="D104" s="62" t="str">
        <f>+Income!B96</f>
        <v>7086.05 - Sale of other services Document</v>
      </c>
      <c r="E104" s="86"/>
      <c r="F104" s="86"/>
      <c r="G104" s="87"/>
      <c r="H104" s="84"/>
    </row>
    <row r="105" spans="1:8" ht="12.75" customHeight="1">
      <c r="A105" s="78"/>
      <c r="B105" s="71"/>
      <c r="C105" s="85"/>
      <c r="D105" s="62" t="str">
        <f>+Income!B97</f>
        <v>7086.06 - Sale of other services Register</v>
      </c>
      <c r="E105" s="86"/>
      <c r="F105" s="86"/>
      <c r="G105" s="87"/>
      <c r="H105" s="84"/>
    </row>
    <row r="106" spans="1:8" ht="12.75" customHeight="1">
      <c r="A106" s="78"/>
      <c r="B106" s="71"/>
      <c r="C106" s="85"/>
      <c r="D106" s="62" t="str">
        <f>+Income!B98</f>
        <v>7086.07 - Selling other services E-Seal</v>
      </c>
      <c r="E106" s="86"/>
      <c r="F106" s="86"/>
      <c r="G106" s="87"/>
      <c r="H106" s="84"/>
    </row>
    <row r="107" spans="1:8" ht="12.75" customHeight="1">
      <c r="A107" s="78"/>
      <c r="B107" s="71"/>
      <c r="C107" s="85"/>
      <c r="D107" s="62" t="str">
        <f>+Income!B99</f>
        <v>7086.08 - Sale of other services Card</v>
      </c>
      <c r="E107" s="86"/>
      <c r="F107" s="86"/>
      <c r="G107" s="87"/>
      <c r="H107" s="84"/>
    </row>
    <row r="108" spans="1:8" ht="12.75" customHeight="1">
      <c r="A108" s="78"/>
      <c r="B108" s="71"/>
      <c r="C108" s="85"/>
      <c r="D108" s="62" t="str">
        <f>+Income!B100</f>
        <v>7086.09 - Sale of other services Overnight</v>
      </c>
      <c r="E108" s="86"/>
      <c r="F108" s="86"/>
      <c r="G108" s="87"/>
      <c r="H108" s="84"/>
    </row>
    <row r="109" spans="1:8" ht="12.75" customHeight="1">
      <c r="A109" s="78"/>
      <c r="B109" s="71"/>
      <c r="C109" s="99"/>
      <c r="D109" s="100" t="str">
        <f>+Income!B101</f>
        <v>709 - Resale and customer discounts</v>
      </c>
      <c r="E109" s="101"/>
      <c r="F109" s="101"/>
      <c r="G109" s="102"/>
      <c r="H109" s="84"/>
    </row>
    <row r="110" spans="1:8" ht="12.75" customHeight="1" thickBot="1">
      <c r="A110" s="78"/>
      <c r="B110" s="71"/>
      <c r="C110" s="95"/>
      <c r="D110" s="96"/>
      <c r="E110" s="97"/>
      <c r="F110" s="97"/>
      <c r="G110" s="98"/>
      <c r="H110" s="84"/>
    </row>
    <row r="111" spans="1:8" ht="12.75" customHeight="1" thickTop="1">
      <c r="A111" s="78"/>
      <c r="B111" s="71"/>
      <c r="C111" s="80"/>
      <c r="D111" s="81"/>
      <c r="E111" s="82"/>
      <c r="F111" s="82"/>
      <c r="G111" s="83"/>
      <c r="H111" s="84"/>
    </row>
    <row r="112" spans="1:8" ht="12.75" customHeight="1">
      <c r="A112" s="78"/>
      <c r="B112" s="71"/>
      <c r="C112" s="85" t="str">
        <f>+Income!A102</f>
        <v>7091 - ການ​ຂາຍ​ສົ່ງ​ຄືນ</v>
      </c>
      <c r="D112" s="62" t="str">
        <f>+Income!B102</f>
        <v>7091 - Resale</v>
      </c>
      <c r="E112" s="86"/>
      <c r="F112" s="86"/>
      <c r="G112" s="87"/>
      <c r="H112" s="84"/>
    </row>
    <row r="113" spans="1:8" ht="12.75" customHeight="1">
      <c r="A113" s="78"/>
      <c r="B113" s="71"/>
      <c r="C113" s="85"/>
      <c r="D113" s="62" t="str">
        <f>+Income!B103</f>
        <v>7091.01 - Resale</v>
      </c>
      <c r="E113" s="86"/>
      <c r="F113" s="86"/>
      <c r="G113" s="87"/>
      <c r="H113" s="84"/>
    </row>
    <row r="114" spans="1:8" ht="12.75" customHeight="1">
      <c r="A114" s="78"/>
      <c r="B114" s="71"/>
      <c r="C114" s="85"/>
      <c r="D114" s="62" t="str">
        <f>+Income!B104</f>
        <v>7092 - Various discounts given to customers</v>
      </c>
      <c r="E114" s="86"/>
      <c r="F114" s="86"/>
      <c r="G114" s="87"/>
      <c r="H114" s="84"/>
    </row>
    <row r="115" spans="1:8" ht="12.75" customHeight="1">
      <c r="A115" s="78"/>
      <c r="B115" s="71"/>
      <c r="C115" s="85"/>
      <c r="D115" s="62" t="str">
        <f>+Income!B105</f>
        <v>7092.01 - Various discounts given to customers</v>
      </c>
      <c r="E115" s="86"/>
      <c r="F115" s="86"/>
      <c r="G115" s="87"/>
      <c r="H115" s="84"/>
    </row>
    <row r="116" spans="1:8" ht="12.75" customHeight="1">
      <c r="A116" s="78"/>
      <c r="B116" s="71"/>
      <c r="C116" s="85"/>
      <c r="D116" s="62" t="str">
        <f>+Income!B106</f>
        <v>71 - Income from secondary activities</v>
      </c>
      <c r="E116" s="86"/>
      <c r="F116" s="86"/>
      <c r="G116" s="87"/>
      <c r="H116" s="84"/>
    </row>
    <row r="117" spans="1:8" ht="12.75" customHeight="1">
      <c r="A117" s="78"/>
      <c r="B117" s="71"/>
      <c r="C117" s="85"/>
      <c r="D117" s="62" t="str">
        <f>+Income!B107</f>
        <v>711 - Selling waste products</v>
      </c>
      <c r="E117" s="86"/>
      <c r="F117" s="86"/>
      <c r="G117" s="87"/>
      <c r="H117" s="84"/>
    </row>
    <row r="118" spans="1:8" ht="12.75" customHeight="1">
      <c r="A118" s="78"/>
      <c r="B118" s="71"/>
      <c r="C118" s="85"/>
      <c r="D118" s="62" t="str">
        <f>+Income!B108</f>
        <v>7111 - Selling waste products</v>
      </c>
      <c r="E118" s="86"/>
      <c r="F118" s="86"/>
      <c r="G118" s="87"/>
      <c r="H118" s="84"/>
    </row>
    <row r="119" spans="1:8" ht="12.75" customHeight="1">
      <c r="A119" s="78"/>
      <c r="B119" s="71"/>
      <c r="C119" s="85"/>
      <c r="D119" s="62" t="str">
        <f>+Income!B109</f>
        <v>712 - Various rental income</v>
      </c>
      <c r="E119" s="86"/>
      <c r="F119" s="86"/>
      <c r="G119" s="87"/>
      <c r="H119" s="84"/>
    </row>
    <row r="120" spans="1:8" ht="12.75" customHeight="1">
      <c r="A120" s="78"/>
      <c r="B120" s="71"/>
      <c r="C120" s="85"/>
      <c r="D120" s="62" t="str">
        <f>+Income!B110</f>
        <v>7121 - Various rental income</v>
      </c>
      <c r="E120" s="86"/>
      <c r="F120" s="86"/>
      <c r="G120" s="87"/>
      <c r="H120" s="84"/>
    </row>
    <row r="121" spans="1:8" ht="12.75" customHeight="1">
      <c r="A121" s="78"/>
      <c r="B121" s="71"/>
      <c r="C121" s="85"/>
      <c r="D121" s="62" t="str">
        <f>+Income!B111</f>
        <v>7121.01 - Miscellaneous rental income - buildings</v>
      </c>
      <c r="E121" s="86"/>
      <c r="F121" s="86"/>
      <c r="G121" s="87"/>
      <c r="H121" s="84"/>
    </row>
    <row r="122" spans="1:8" ht="12.75" customHeight="1">
      <c r="A122" s="78"/>
      <c r="B122" s="71"/>
      <c r="C122" s="85"/>
      <c r="D122" s="62" t="str">
        <f>+Income!B112</f>
        <v>7121.02 - Miscellaneous rental income - vehicles</v>
      </c>
      <c r="E122" s="86"/>
      <c r="F122" s="86"/>
      <c r="G122" s="87"/>
      <c r="H122" s="84"/>
    </row>
    <row r="123" spans="1:8" ht="12.75" customHeight="1">
      <c r="A123" s="78"/>
      <c r="B123" s="71"/>
      <c r="C123" s="85"/>
      <c r="D123" s="62" t="str">
        <f>+Income!B113</f>
        <v>7121.03 - Miscellaneous rental income - equipment</v>
      </c>
      <c r="E123" s="86"/>
      <c r="F123" s="86"/>
      <c r="G123" s="87"/>
      <c r="H123" s="84"/>
    </row>
    <row r="124" spans="1:8" ht="12.75" customHeight="1">
      <c r="A124" s="78"/>
      <c r="B124" s="71"/>
      <c r="C124" s="85"/>
      <c r="D124" s="62" t="str">
        <f>+Income!B114</f>
        <v>715 - Commission income</v>
      </c>
      <c r="E124" s="86"/>
      <c r="F124" s="86"/>
      <c r="G124" s="87"/>
      <c r="H124" s="84"/>
    </row>
    <row r="125" spans="1:8" ht="12.75" customHeight="1">
      <c r="A125" s="78"/>
      <c r="B125" s="71"/>
      <c r="C125" s="85"/>
      <c r="D125" s="62" t="str">
        <f>+Income!B115</f>
        <v>7151 - Commission income</v>
      </c>
      <c r="E125" s="86"/>
      <c r="F125" s="86"/>
      <c r="G125" s="87"/>
      <c r="H125" s="84"/>
    </row>
    <row r="126" spans="1:8" ht="12.75" customHeight="1">
      <c r="A126" s="78"/>
      <c r="B126" s="71"/>
      <c r="C126" s="85"/>
      <c r="D126" s="62" t="str">
        <f>+Income!B116</f>
        <v>7151.01 - Commission income</v>
      </c>
      <c r="E126" s="86"/>
      <c r="F126" s="86"/>
      <c r="G126" s="87"/>
      <c r="H126" s="84"/>
    </row>
    <row r="127" spans="1:8" ht="12.75" customHeight="1">
      <c r="A127" s="78"/>
      <c r="B127" s="71"/>
      <c r="C127" s="85"/>
      <c r="D127" s="62" t="str">
        <f>+Income!B117</f>
        <v>717 - Revenue from shipping and other expenses collected from customers</v>
      </c>
      <c r="E127" s="86"/>
      <c r="F127" s="86"/>
      <c r="G127" s="87"/>
      <c r="H127" s="84"/>
    </row>
    <row r="128" spans="1:8" ht="12.75" customHeight="1">
      <c r="A128" s="78"/>
      <c r="B128" s="71"/>
      <c r="C128" s="85"/>
      <c r="D128" s="62" t="str">
        <f>+Income!B118</f>
        <v>7171 - Revenue from shipping and other expenses collected from customers</v>
      </c>
      <c r="E128" s="86"/>
      <c r="F128" s="86"/>
      <c r="G128" s="87"/>
      <c r="H128" s="84"/>
    </row>
    <row r="129" spans="1:8" ht="12.75" customHeight="1">
      <c r="A129" s="78"/>
      <c r="B129" s="71"/>
      <c r="C129" s="85"/>
      <c r="D129" s="62" t="str">
        <f>+Income!B119</f>
        <v>7171.01 - Revenue from shipping and other expenses collected from customers</v>
      </c>
      <c r="E129" s="86"/>
      <c r="F129" s="86"/>
      <c r="G129" s="87"/>
      <c r="H129" s="84"/>
    </row>
    <row r="130" spans="1:8" ht="12.75" customHeight="1">
      <c r="A130" s="78"/>
      <c r="B130" s="71"/>
      <c r="C130" s="85"/>
      <c r="D130" s="62" t="str">
        <f>+Income!B120</f>
        <v>718 - Income from other reserve activities</v>
      </c>
      <c r="E130" s="86"/>
      <c r="F130" s="86"/>
      <c r="G130" s="87"/>
      <c r="H130" s="84"/>
    </row>
    <row r="131" spans="1:8" ht="12.75" customHeight="1">
      <c r="A131" s="78"/>
      <c r="B131" s="71"/>
      <c r="C131" s="85"/>
      <c r="D131" s="62" t="str">
        <f>+Income!B121</f>
        <v>7181 - Income from other reserve activities</v>
      </c>
      <c r="E131" s="86"/>
      <c r="F131" s="86"/>
      <c r="G131" s="87"/>
      <c r="H131" s="84"/>
    </row>
    <row r="132" spans="1:8" ht="12.75" customHeight="1">
      <c r="A132" s="78"/>
      <c r="B132" s="71"/>
      <c r="C132" s="85"/>
      <c r="D132" s="62" t="str">
        <f>+Income!B122</f>
        <v>7181.01 - Income from other reserve activities</v>
      </c>
      <c r="E132" s="86"/>
      <c r="F132" s="86"/>
      <c r="G132" s="87"/>
      <c r="H132" s="84"/>
    </row>
    <row r="133" spans="1:8" ht="12.75" customHeight="1">
      <c r="A133" s="78"/>
      <c r="B133" s="71"/>
      <c r="C133" s="85"/>
      <c r="D133" s="62" t="str">
        <f>+Income!B123</f>
        <v>719 - Discounted price</v>
      </c>
      <c r="E133" s="86"/>
      <c r="F133" s="86"/>
      <c r="G133" s="87"/>
      <c r="H133" s="84"/>
    </row>
    <row r="134" spans="1:8" ht="12.75" customHeight="1">
      <c r="A134" s="78"/>
      <c r="B134" s="71"/>
      <c r="C134" s="85"/>
      <c r="D134" s="62" t="str">
        <f>+Income!B124</f>
        <v>7191 - Discounted price</v>
      </c>
      <c r="E134" s="86"/>
      <c r="F134" s="86"/>
      <c r="G134" s="87"/>
      <c r="H134" s="84"/>
    </row>
    <row r="135" spans="1:8" ht="12.75" customHeight="1">
      <c r="A135" s="78"/>
      <c r="B135" s="71"/>
      <c r="C135" s="85"/>
      <c r="D135" s="62" t="str">
        <f>+Income!B125</f>
        <v>7191.01 - Discounted price</v>
      </c>
      <c r="E135" s="86"/>
      <c r="F135" s="86"/>
      <c r="G135" s="87"/>
      <c r="H135" s="84"/>
    </row>
    <row r="136" spans="1:8" ht="12.75" customHeight="1">
      <c r="A136" s="78"/>
      <c r="B136" s="71"/>
      <c r="C136" s="85"/>
      <c r="D136" s="62" t="str">
        <f>+Income!B126</f>
        <v>74 - Income and support in business</v>
      </c>
      <c r="E136" s="86"/>
      <c r="F136" s="86"/>
      <c r="G136" s="87"/>
      <c r="H136" s="84"/>
    </row>
    <row r="137" spans="1:8" ht="12.75" customHeight="1">
      <c r="A137" s="78"/>
      <c r="B137" s="71"/>
      <c r="C137" s="85"/>
      <c r="D137" s="62" t="str">
        <f>+Income!B127</f>
        <v>741 - Funds to support the balance</v>
      </c>
      <c r="E137" s="86"/>
      <c r="F137" s="86"/>
      <c r="G137" s="87"/>
      <c r="H137" s="84"/>
    </row>
    <row r="138" spans="1:8" ht="12.75" customHeight="1">
      <c r="A138" s="78"/>
      <c r="B138" s="71"/>
      <c r="C138" s="85"/>
      <c r="D138" s="62" t="str">
        <f>+Income!B128</f>
        <v>7411 - Financial support balance</v>
      </c>
      <c r="E138" s="86"/>
      <c r="F138" s="86"/>
      <c r="G138" s="87"/>
      <c r="H138" s="84"/>
    </row>
    <row r="139" spans="1:8" ht="12.75" customHeight="1">
      <c r="A139" s="78"/>
      <c r="B139" s="71"/>
      <c r="C139" s="85"/>
      <c r="D139" s="62" t="str">
        <f>+Income!B129</f>
        <v>748 - Financial assistance in business</v>
      </c>
      <c r="E139" s="86"/>
      <c r="F139" s="86"/>
      <c r="G139" s="87"/>
      <c r="H139" s="84"/>
    </row>
    <row r="140" spans="1:8" ht="12.75" customHeight="1">
      <c r="A140" s="78"/>
      <c r="B140" s="71"/>
      <c r="C140" s="85"/>
      <c r="D140" s="62" t="str">
        <f>+Income!B130</f>
        <v>7481 - Financial assistance in business</v>
      </c>
      <c r="E140" s="86"/>
      <c r="F140" s="86"/>
      <c r="G140" s="87"/>
      <c r="H140" s="84"/>
    </row>
    <row r="141" spans="1:8" ht="12.75" customHeight="1">
      <c r="A141" s="78"/>
      <c r="B141" s="71"/>
      <c r="C141" s="85"/>
      <c r="D141" s="62" t="str">
        <f>+Income!B131</f>
        <v>75 - Other income in normal operations</v>
      </c>
      <c r="E141" s="86"/>
      <c r="F141" s="86"/>
      <c r="G141" s="87"/>
      <c r="H141" s="84"/>
    </row>
    <row r="142" spans="1:8" ht="12.75" customHeight="1">
      <c r="A142" s="78"/>
      <c r="B142" s="71"/>
      <c r="C142" s="85"/>
      <c r="D142" s="62" t="str">
        <f>+Income!B132</f>
        <v>751 - Concession fees and similar fees</v>
      </c>
      <c r="E142" s="86"/>
      <c r="F142" s="86"/>
      <c r="G142" s="87"/>
      <c r="H142" s="84"/>
    </row>
    <row r="143" spans="1:8" ht="12.75" customHeight="1">
      <c r="A143" s="78"/>
      <c r="B143" s="71"/>
      <c r="C143" s="85"/>
      <c r="D143" s="62" t="str">
        <f>+Income!B133</f>
        <v>7511 - Concession fees and similar fees</v>
      </c>
      <c r="E143" s="86"/>
      <c r="F143" s="86"/>
      <c r="G143" s="87"/>
      <c r="H143" s="84"/>
    </row>
    <row r="144" spans="1:8" ht="12.75" customHeight="1">
      <c r="A144" s="78"/>
      <c r="B144" s="71"/>
      <c r="C144" s="85"/>
      <c r="D144" s="62" t="str">
        <f>+Income!B134</f>
        <v>752 - Value of profit from the sale of non-financial fixed assets</v>
      </c>
      <c r="E144" s="86"/>
      <c r="F144" s="86"/>
      <c r="G144" s="87"/>
      <c r="H144" s="84"/>
    </row>
    <row r="145" spans="1:8" ht="12.75" customHeight="1">
      <c r="A145" s="78"/>
      <c r="B145" s="71"/>
      <c r="C145" s="85"/>
      <c r="D145" s="62" t="str">
        <f>+Income!B135</f>
        <v>7521 - Gains from the sale of non-financial fixed assets</v>
      </c>
      <c r="E145" s="86"/>
      <c r="F145" s="86"/>
      <c r="G145" s="87"/>
      <c r="H145" s="84"/>
    </row>
    <row r="146" spans="1:8" ht="12.75" customHeight="1">
      <c r="A146" s="78"/>
      <c r="B146" s="71"/>
      <c r="C146" s="85"/>
      <c r="D146" s="62" t="str">
        <f>+Income!B136</f>
        <v>7521.01 - Profit from the sale of non-financial fixed assets</v>
      </c>
      <c r="E146" s="86"/>
      <c r="F146" s="86"/>
      <c r="G146" s="87"/>
      <c r="H146" s="84"/>
    </row>
    <row r="147" spans="1:8" ht="12.75" customHeight="1">
      <c r="A147" s="78"/>
      <c r="B147" s="71"/>
      <c r="C147" s="85"/>
      <c r="D147" s="62" t="str">
        <f>+Income!B137</f>
        <v>753 - Meeting fees and compensation for administrators, managers</v>
      </c>
      <c r="E147" s="86"/>
      <c r="F147" s="86"/>
      <c r="G147" s="87"/>
      <c r="H147" s="84"/>
    </row>
    <row r="148" spans="1:8" ht="12.75" customHeight="1">
      <c r="A148" s="78"/>
      <c r="B148" s="71"/>
      <c r="C148" s="85"/>
      <c r="D148" s="62" t="str">
        <f>+Income!B138</f>
        <v>7531 - Meeting fees and compensation for administrators, managers</v>
      </c>
      <c r="E148" s="86"/>
      <c r="F148" s="86"/>
      <c r="G148" s="87"/>
      <c r="H148" s="84"/>
    </row>
    <row r="149" spans="1:8" ht="12.75" customHeight="1">
      <c r="A149" s="78"/>
      <c r="B149" s="71"/>
      <c r="C149" s="85"/>
      <c r="D149" s="62" t="str">
        <f>+Income!B139</f>
        <v>754 - The share of money to support the construction of the foundation that is transferred to the income in the year</v>
      </c>
      <c r="E149" s="86"/>
      <c r="F149" s="86"/>
      <c r="G149" s="87"/>
      <c r="H149" s="84"/>
    </row>
    <row r="150" spans="1:8" ht="12.75" customHeight="1">
      <c r="A150" s="78"/>
      <c r="B150" s="71"/>
      <c r="C150" s="85"/>
      <c r="D150" s="62" t="str">
        <f>+Income!B140</f>
        <v>7541 - The share of money to support the construction of the foundation that is transferred to the income in the year</v>
      </c>
      <c r="E150" s="86"/>
      <c r="F150" s="86"/>
      <c r="G150" s="87"/>
      <c r="H150" s="84"/>
    </row>
    <row r="151" spans="1:8" ht="12.75" customHeight="1">
      <c r="A151" s="78"/>
      <c r="B151" s="71"/>
      <c r="C151" s="85"/>
      <c r="D151" s="62" t="str">
        <f>+Income!B141</f>
        <v>755 - Profit share from joint activities - profit</v>
      </c>
      <c r="E151" s="86"/>
      <c r="F151" s="86"/>
      <c r="G151" s="87"/>
      <c r="H151" s="84"/>
    </row>
    <row r="152" spans="1:8" ht="12.75" customHeight="1">
      <c r="A152" s="78"/>
      <c r="B152" s="71"/>
      <c r="C152" s="85"/>
      <c r="D152" s="62" t="str">
        <f>+Income!B142</f>
        <v>7551 - Share of results from joint activities - profit</v>
      </c>
      <c r="E152" s="86"/>
      <c r="F152" s="86"/>
      <c r="G152" s="87"/>
      <c r="H152" s="84"/>
    </row>
    <row r="153" spans="1:8" ht="12.75" customHeight="1">
      <c r="A153" s="78"/>
      <c r="B153" s="71"/>
      <c r="C153" s="85"/>
      <c r="D153" s="62" t="str">
        <f>+Income!B143</f>
        <v>756 - Donations received</v>
      </c>
      <c r="E153" s="86"/>
      <c r="F153" s="86"/>
      <c r="G153" s="87"/>
      <c r="H153" s="84"/>
    </row>
    <row r="154" spans="1:8" ht="12.75" customHeight="1">
      <c r="A154" s="78"/>
      <c r="B154" s="71"/>
      <c r="C154" s="85"/>
      <c r="D154" s="62" t="str">
        <f>+Income!B144</f>
        <v>7561 - Donations received</v>
      </c>
      <c r="E154" s="86"/>
      <c r="F154" s="86"/>
      <c r="G154" s="87"/>
      <c r="H154" s="84"/>
    </row>
    <row r="155" spans="1:8" ht="12.75" customHeight="1">
      <c r="A155" s="78"/>
      <c r="B155" s="71"/>
      <c r="C155" s="85"/>
      <c r="D155" s="62" t="str">
        <f>+Income!B145</f>
        <v>757 - Proceeds from the collection of property, the amount of money to support the construction of the foundation</v>
      </c>
      <c r="E155" s="86"/>
      <c r="F155" s="86"/>
      <c r="G155" s="87"/>
      <c r="H155" s="84"/>
    </row>
    <row r="156" spans="1:8" ht="12.75" customHeight="1">
      <c r="A156" s="78"/>
      <c r="B156" s="71"/>
      <c r="C156" s="85"/>
      <c r="D156" s="62" t="str">
        <f>+Income!B146</f>
        <v>7571 - Proceeds from the sale of property, the amount of money to support the construction of the foundation</v>
      </c>
      <c r="E156" s="86"/>
      <c r="F156" s="86"/>
      <c r="G156" s="87"/>
      <c r="H156" s="84"/>
    </row>
    <row r="157" spans="1:8" ht="12.75" customHeight="1">
      <c r="A157" s="78"/>
      <c r="B157" s="71"/>
      <c r="C157" s="85"/>
      <c r="D157" s="62" t="str">
        <f>+Income!B147</f>
        <v>758 - Other income in normal operations</v>
      </c>
      <c r="E157" s="86"/>
      <c r="F157" s="86"/>
      <c r="G157" s="87"/>
      <c r="H157" s="84"/>
    </row>
    <row r="158" spans="1:8" ht="12.75" customHeight="1">
      <c r="A158" s="78"/>
      <c r="B158" s="71"/>
      <c r="C158" s="85"/>
      <c r="D158" s="62" t="str">
        <f>+Income!B148</f>
        <v>7581 - Other income in normal operations</v>
      </c>
      <c r="E158" s="86"/>
      <c r="F158" s="86"/>
      <c r="G158" s="87"/>
      <c r="H158" s="84"/>
    </row>
    <row r="159" spans="1:8" ht="12.75" customHeight="1">
      <c r="A159" s="78"/>
      <c r="B159" s="71"/>
      <c r="C159" s="85"/>
      <c r="D159" s="62" t="str">
        <f>+Income!B149</f>
        <v>7581.01 - Other income from normal operations</v>
      </c>
      <c r="E159" s="86"/>
      <c r="F159" s="86"/>
      <c r="G159" s="87"/>
      <c r="H159" s="84"/>
    </row>
    <row r="160" spans="1:8" ht="12.75" customHeight="1">
      <c r="A160" s="78"/>
      <c r="B160" s="71"/>
      <c r="C160" s="85"/>
      <c r="D160" s="62" t="str">
        <f>+Income!B150</f>
        <v>76 - Financial income</v>
      </c>
      <c r="E160" s="86"/>
      <c r="F160" s="86"/>
      <c r="G160" s="87"/>
      <c r="H160" s="84"/>
    </row>
    <row r="161" spans="1:8" ht="12.75" customHeight="1">
      <c r="A161" s="78"/>
      <c r="B161" s="71"/>
      <c r="C161" s="85"/>
      <c r="D161" s="62" t="str">
        <f>+Income!B151</f>
        <v>761 - Income, dividends and interest</v>
      </c>
      <c r="E161" s="86"/>
      <c r="F161" s="86"/>
      <c r="G161" s="87"/>
      <c r="H161" s="84"/>
    </row>
    <row r="162" spans="1:8" ht="12.75" customHeight="1">
      <c r="A162" s="78"/>
      <c r="B162" s="71"/>
      <c r="C162" s="85"/>
      <c r="D162" s="62" t="str">
        <f>+Income!B152</f>
        <v>7611 - Dividend income</v>
      </c>
      <c r="E162" s="86"/>
      <c r="F162" s="86"/>
      <c r="G162" s="87"/>
      <c r="H162" s="84"/>
    </row>
    <row r="163" spans="1:8" ht="12.75" customHeight="1">
      <c r="A163" s="78"/>
      <c r="B163" s="71"/>
      <c r="C163" s="85"/>
      <c r="D163" s="62" t="str">
        <f>+Income!B153</f>
        <v>7611.01 - Dividend income</v>
      </c>
      <c r="E163" s="86"/>
      <c r="F163" s="86"/>
      <c r="G163" s="87"/>
      <c r="H163" s="84"/>
    </row>
    <row r="164" spans="1:8" ht="12.75" customHeight="1">
      <c r="A164" s="78"/>
      <c r="B164" s="71"/>
      <c r="C164" s="85"/>
      <c r="D164" s="62" t="str">
        <f>+Income!B154</f>
        <v>7612 - Interest income</v>
      </c>
      <c r="E164" s="86"/>
      <c r="F164" s="86"/>
      <c r="G164" s="87"/>
      <c r="H164" s="84"/>
    </row>
    <row r="165" spans="1:8" ht="12.75" customHeight="1">
      <c r="A165" s="78"/>
      <c r="B165" s="71"/>
      <c r="C165" s="85"/>
      <c r="D165" s="62" t="str">
        <f>+Income!B155</f>
        <v>7612.01 - Interest income</v>
      </c>
      <c r="E165" s="86"/>
      <c r="F165" s="86"/>
      <c r="G165" s="87"/>
      <c r="H165" s="84"/>
    </row>
    <row r="166" spans="1:8" ht="12.75" customHeight="1">
      <c r="A166" s="78"/>
      <c r="B166" s="71"/>
      <c r="C166" s="85"/>
      <c r="D166" s="62" t="str">
        <f>+Income!B156</f>
        <v>762 - Discount received from payment</v>
      </c>
      <c r="E166" s="86"/>
      <c r="F166" s="86"/>
      <c r="G166" s="87"/>
      <c r="H166" s="84"/>
    </row>
    <row r="167" spans="1:8" ht="12.75" customHeight="1">
      <c r="A167" s="78"/>
      <c r="B167" s="71"/>
      <c r="C167" s="85"/>
      <c r="D167" s="62" t="str">
        <f>+Income!B157</f>
        <v>7621 - Discount received from payment</v>
      </c>
      <c r="E167" s="86"/>
      <c r="F167" s="86"/>
      <c r="G167" s="87"/>
      <c r="H167" s="84"/>
    </row>
    <row r="168" spans="1:8" ht="12.75" customHeight="1">
      <c r="A168" s="78"/>
      <c r="B168" s="71"/>
      <c r="C168" s="85"/>
      <c r="D168" s="62" t="str">
        <f>+Income!B158</f>
        <v>7621.01 - Discount received from payment</v>
      </c>
      <c r="E168" s="86"/>
      <c r="F168" s="86"/>
      <c r="G168" s="87"/>
      <c r="H168" s="84"/>
    </row>
    <row r="169" spans="1:8" ht="12.75" customHeight="1">
      <c r="A169" s="78"/>
      <c r="B169" s="71"/>
      <c r="C169" s="85"/>
      <c r="D169" s="62" t="str">
        <f>+Income!B159</f>
        <v>763 - Profit from currency exchange rate</v>
      </c>
      <c r="E169" s="86"/>
      <c r="F169" s="86"/>
      <c r="G169" s="87"/>
      <c r="H169" s="84"/>
    </row>
    <row r="170" spans="1:8" ht="12.75" customHeight="1">
      <c r="A170" s="78"/>
      <c r="B170" s="71"/>
      <c r="C170" s="85"/>
      <c r="D170" s="62" t="str">
        <f>+Income!B160</f>
        <v>7631 - Profit from currency exchange rate</v>
      </c>
      <c r="E170" s="86"/>
      <c r="F170" s="86"/>
      <c r="G170" s="87"/>
      <c r="H170" s="84"/>
    </row>
    <row r="171" spans="1:8" ht="12.75" customHeight="1">
      <c r="A171" s="78"/>
      <c r="B171" s="71"/>
      <c r="C171" s="85"/>
      <c r="D171" s="62" t="str">
        <f>+Income!B161</f>
        <v>7631.01 - Profit from currency exchange rate</v>
      </c>
      <c r="E171" s="86"/>
      <c r="F171" s="86"/>
      <c r="G171" s="87"/>
      <c r="H171" s="84"/>
    </row>
    <row r="172" spans="1:8" ht="12.75" customHeight="1">
      <c r="A172" s="78"/>
      <c r="B172" s="71"/>
      <c r="C172" s="85"/>
      <c r="D172" s="62" t="str">
        <f>+Income!B162</f>
        <v>7631.02 - Profit from the exchange rate, payment of debts to suppliers</v>
      </c>
      <c r="E172" s="86"/>
      <c r="F172" s="86"/>
      <c r="G172" s="87"/>
      <c r="H172" s="84"/>
    </row>
    <row r="173" spans="1:8" ht="12.75" customHeight="1">
      <c r="A173" s="78"/>
      <c r="B173" s="71"/>
      <c r="C173" s="85"/>
      <c r="D173" s="62" t="str">
        <f>+Income!B163</f>
        <v>7631.03 - Profit from currency exchange rate, customer paying debt</v>
      </c>
      <c r="E173" s="86"/>
      <c r="F173" s="86"/>
      <c r="G173" s="87"/>
      <c r="H173" s="84"/>
    </row>
    <row r="174" spans="1:8" ht="12.75" customHeight="1">
      <c r="A174" s="78"/>
      <c r="B174" s="71"/>
      <c r="C174" s="85"/>
      <c r="D174" s="62" t="str">
        <f>+Income!B164</f>
        <v>7631.04 - Profit from exchange rate-Unrealize</v>
      </c>
      <c r="E174" s="86"/>
      <c r="F174" s="86"/>
      <c r="G174" s="87"/>
      <c r="H174" s="84"/>
    </row>
    <row r="175" spans="1:8" ht="12.75" customHeight="1">
      <c r="A175" s="78"/>
      <c r="B175" s="71"/>
      <c r="C175" s="85"/>
      <c r="D175" s="62" t="str">
        <f>+Income!B165</f>
        <v>764 - Income from other financial fixed assets</v>
      </c>
      <c r="E175" s="86"/>
      <c r="F175" s="86"/>
      <c r="G175" s="87"/>
      <c r="H175" s="84"/>
    </row>
    <row r="176" spans="1:8" ht="12.75" customHeight="1">
      <c r="A176" s="78"/>
      <c r="B176" s="71"/>
      <c r="C176" s="85"/>
      <c r="D176" s="62" t="str">
        <f>+Income!B166</f>
        <v>7641 - Income from other financial fixed assets</v>
      </c>
      <c r="E176" s="86"/>
      <c r="F176" s="86"/>
      <c r="G176" s="87"/>
      <c r="H176" s="84"/>
    </row>
    <row r="177" spans="1:8" ht="12.75" customHeight="1">
      <c r="A177" s="78"/>
      <c r="B177" s="71"/>
      <c r="C177" s="85"/>
      <c r="D177" s="62" t="str">
        <f>+Income!B167</f>
        <v>765 - Surplus value of investment stock</v>
      </c>
      <c r="E177" s="86"/>
      <c r="F177" s="86"/>
      <c r="G177" s="87"/>
      <c r="H177" s="84"/>
    </row>
    <row r="178" spans="1:8" ht="12.75" customHeight="1">
      <c r="A178" s="78"/>
      <c r="B178" s="71"/>
      <c r="C178" s="85"/>
      <c r="D178" s="62" t="str">
        <f>+Income!B168</f>
        <v>7651 - Surplus value of investment securities</v>
      </c>
      <c r="E178" s="86"/>
      <c r="F178" s="86"/>
      <c r="G178" s="87"/>
      <c r="H178" s="84"/>
    </row>
    <row r="179" spans="1:8" ht="12.75" customHeight="1">
      <c r="A179" s="78"/>
      <c r="B179" s="71"/>
      <c r="C179" s="85"/>
      <c r="D179" s="62" t="str">
        <f>+Income!B169</f>
        <v>766 - Surplus value of financial instruments and similar instruments</v>
      </c>
      <c r="E179" s="86"/>
      <c r="F179" s="86"/>
      <c r="G179" s="87"/>
      <c r="H179" s="84"/>
    </row>
    <row r="180" spans="1:8" ht="12.75" customHeight="1">
      <c r="A180" s="78"/>
      <c r="B180" s="71"/>
      <c r="C180" s="85"/>
      <c r="D180" s="62" t="str">
        <f>+Income!B170</f>
        <v>7661 - Surplus value of financial instruments and similar instruments</v>
      </c>
      <c r="E180" s="86"/>
      <c r="F180" s="86"/>
      <c r="G180" s="87"/>
      <c r="H180" s="84"/>
    </row>
    <row r="181" spans="1:8" ht="12.75" customHeight="1">
      <c r="A181" s="78"/>
      <c r="B181" s="71"/>
      <c r="C181" s="85"/>
      <c r="D181" s="62" t="str">
        <f>+Income!B171</f>
        <v>767 - Net income from the sale of capital stock</v>
      </c>
      <c r="E181" s="86"/>
      <c r="F181" s="86"/>
      <c r="G181" s="87"/>
      <c r="H181" s="84"/>
    </row>
    <row r="182" spans="1:8" ht="12.75" customHeight="1">
      <c r="A182" s="78"/>
      <c r="B182" s="71"/>
      <c r="C182" s="85"/>
      <c r="D182" s="62" t="str">
        <f>+Income!B172</f>
        <v>7671 - Net income from the sale of capital stock</v>
      </c>
      <c r="E182" s="86"/>
      <c r="F182" s="86"/>
      <c r="G182" s="87"/>
      <c r="H182" s="84"/>
    </row>
    <row r="183" spans="1:8" ht="12.75" customHeight="1">
      <c r="A183" s="78"/>
      <c r="B183" s="71"/>
      <c r="C183" s="85"/>
      <c r="D183" s="62" t="str">
        <f>+Income!B173</f>
        <v>768 - Other financial income</v>
      </c>
      <c r="E183" s="86"/>
      <c r="F183" s="86"/>
      <c r="G183" s="87"/>
      <c r="H183" s="84"/>
    </row>
    <row r="184" spans="1:8" ht="12.75" customHeight="1">
      <c r="A184" s="78"/>
      <c r="B184" s="71"/>
      <c r="C184" s="85"/>
      <c r="D184" s="62" t="str">
        <f>+Income!B174</f>
        <v>7681 - Other financial income</v>
      </c>
      <c r="E184" s="86"/>
      <c r="F184" s="86"/>
      <c r="G184" s="87"/>
      <c r="H184" s="84"/>
    </row>
    <row r="185" spans="1:8" ht="12.75" customHeight="1">
      <c r="A185" s="78"/>
      <c r="B185" s="71"/>
      <c r="C185" s="85"/>
      <c r="D185" s="62" t="str">
        <f>+Income!B175</f>
        <v>7681.01 - Other financial income</v>
      </c>
      <c r="E185" s="86"/>
      <c r="F185" s="86"/>
      <c r="G185" s="87"/>
      <c r="H185" s="84"/>
    </row>
    <row r="186" spans="1:8" ht="12.75" customHeight="1">
      <c r="A186" s="78"/>
      <c r="B186" s="71"/>
      <c r="C186" s="85"/>
      <c r="D186" s="62" t="str">
        <f>+Income!B176</f>
        <v>77 - Consolidated income after tax</v>
      </c>
      <c r="E186" s="86"/>
      <c r="F186" s="86"/>
      <c r="G186" s="87"/>
      <c r="H186" s="84"/>
    </row>
    <row r="187" spans="1:8" ht="12.75" customHeight="1">
      <c r="A187" s="78"/>
      <c r="B187" s="71"/>
      <c r="C187" s="85"/>
      <c r="D187" s="62" t="str">
        <f>+Income!B177</f>
        <v>773 - The part obtained from the valuation (assets-debts) in foreign currency</v>
      </c>
      <c r="E187" s="86"/>
      <c r="F187" s="86"/>
      <c r="G187" s="87"/>
      <c r="H187" s="84"/>
    </row>
    <row r="188" spans="1:8" ht="12.75" customHeight="1">
      <c r="A188" s="78"/>
      <c r="B188" s="71"/>
      <c r="C188" s="85"/>
      <c r="D188" s="62" t="str">
        <f>+Income!B178</f>
        <v>7731 - The part obtained from the valuation (assets-liabilities) in foreign currency</v>
      </c>
      <c r="E188" s="86"/>
      <c r="F188" s="86"/>
      <c r="G188" s="87"/>
      <c r="H188" s="84"/>
    </row>
    <row r="189" spans="1:8" ht="12.75" customHeight="1">
      <c r="A189" s="78"/>
      <c r="B189" s="71"/>
      <c r="C189" s="85"/>
      <c r="D189" s="62" t="str">
        <f>+Income!B179</f>
        <v>774 - Profit from revaluation of fixed assets increased</v>
      </c>
      <c r="E189" s="86"/>
      <c r="F189" s="86"/>
      <c r="G189" s="87"/>
      <c r="H189" s="84"/>
    </row>
    <row r="190" spans="1:8" ht="12.75" customHeight="1">
      <c r="A190" s="78"/>
      <c r="B190" s="71"/>
      <c r="C190" s="85"/>
      <c r="D190" s="62" t="str">
        <f>+Income!B180</f>
        <v>7741 - Fixed asset revaluation gains increased</v>
      </c>
      <c r="E190" s="86"/>
      <c r="F190" s="86"/>
      <c r="G190" s="87"/>
      <c r="H190" s="84"/>
    </row>
    <row r="191" spans="1:8" ht="12.75" customHeight="1">
      <c r="A191" s="78"/>
      <c r="B191" s="71"/>
      <c r="C191" s="85"/>
      <c r="D191" s="62" t="str">
        <f>+Income!B181</f>
        <v>7741.01 - Profits from revaluation of fixed assets increase</v>
      </c>
      <c r="E191" s="86"/>
      <c r="F191" s="86"/>
      <c r="G191" s="87"/>
      <c r="H191" s="84"/>
    </row>
    <row r="192" spans="1:8" ht="12.75" customHeight="1">
      <c r="A192" s="78"/>
      <c r="B192" s="71"/>
      <c r="C192" s="85"/>
      <c r="D192" s="62" t="str">
        <f>+Income!B182</f>
        <v>775 - Proceeds from the liquidation or control of the company</v>
      </c>
      <c r="E192" s="86"/>
      <c r="F192" s="86"/>
      <c r="G192" s="87"/>
      <c r="H192" s="84"/>
    </row>
    <row r="193" spans="1:8" ht="12.75" customHeight="1">
      <c r="A193" s="78"/>
      <c r="B193" s="71"/>
      <c r="C193" s="85"/>
      <c r="D193" s="62" t="str">
        <f>+Income!B183</f>
        <v>7751 - Proceeds from the liquidation or control of a company</v>
      </c>
      <c r="E193" s="86"/>
      <c r="F193" s="86"/>
      <c r="G193" s="87"/>
      <c r="H193" s="84"/>
    </row>
    <row r="194" spans="1:8" ht="12.75" customHeight="1">
      <c r="A194" s="78"/>
      <c r="B194" s="71"/>
      <c r="C194" s="85"/>
      <c r="D194" s="62" t="str">
        <f>+Income!B184</f>
        <v>778 - Other comprehensive income after tax</v>
      </c>
      <c r="E194" s="86"/>
      <c r="F194" s="86"/>
      <c r="G194" s="87"/>
      <c r="H194" s="84"/>
    </row>
    <row r="195" spans="1:8" ht="12.75" customHeight="1">
      <c r="A195" s="78"/>
      <c r="B195" s="71"/>
      <c r="C195" s="85"/>
      <c r="D195" s="62" t="str">
        <f>+Income!B185</f>
        <v>7781 - Excerpts from First-time Certification Amendments</v>
      </c>
      <c r="E195" s="86"/>
      <c r="F195" s="86"/>
      <c r="G195" s="87"/>
      <c r="H195" s="84"/>
    </row>
    <row r="196" spans="1:8" ht="12.75" customHeight="1">
      <c r="A196" s="78"/>
      <c r="B196" s="71"/>
      <c r="C196" s="85"/>
      <c r="D196" s="62" t="str">
        <f>+Income!B186</f>
        <v>7782 - Gains from changes in accounting policies</v>
      </c>
      <c r="E196" s="86"/>
      <c r="F196" s="86"/>
      <c r="G196" s="87"/>
      <c r="H196" s="84"/>
    </row>
    <row r="197" spans="1:8" ht="12.75" customHeight="1">
      <c r="A197" s="78"/>
      <c r="B197" s="71"/>
      <c r="C197" s="85"/>
      <c r="D197" s="62" t="str">
        <f>+Income!B187</f>
        <v>7783 - Proceeds from correction of accounting errors</v>
      </c>
      <c r="E197" s="86"/>
      <c r="F197" s="86"/>
      <c r="G197" s="87"/>
      <c r="H197" s="84"/>
    </row>
    <row r="198" spans="1:8" ht="12.75" customHeight="1">
      <c r="A198" s="78"/>
      <c r="B198" s="71"/>
      <c r="C198" s="85"/>
      <c r="D198" s="62" t="str">
        <f>+Income!B188</f>
        <v>7788 - Other comprehensive income</v>
      </c>
      <c r="E198" s="86"/>
      <c r="F198" s="86"/>
      <c r="G198" s="87"/>
      <c r="H198" s="84"/>
    </row>
    <row r="199" spans="1:8" ht="12.75" customHeight="1">
      <c r="A199" s="78"/>
      <c r="B199" s="71"/>
      <c r="C199" s="85"/>
      <c r="D199" s="62" t="str">
        <f>+Income!B189</f>
        <v>78 - Collecting back fees, loss of value and money</v>
      </c>
      <c r="E199" s="86"/>
      <c r="F199" s="86"/>
      <c r="G199" s="87"/>
      <c r="H199" s="84"/>
    </row>
    <row r="200" spans="1:8" ht="12.75" customHeight="1">
      <c r="A200" s="78"/>
      <c r="B200" s="71"/>
      <c r="C200" s="85"/>
      <c r="D200" s="62" t="str">
        <f>+Income!B190</f>
        <v>782 - Collecting back fees - fixed assets with identity</v>
      </c>
      <c r="E200" s="86"/>
      <c r="F200" s="86"/>
      <c r="G200" s="87"/>
      <c r="H200" s="84"/>
    </row>
    <row r="201" spans="1:8" ht="12.75" customHeight="1">
      <c r="A201" s="78"/>
      <c r="B201" s="71"/>
      <c r="C201" s="85"/>
      <c r="D201" s="62" t="str">
        <f>+Income!B191</f>
        <v>7821 - Collecting back fees - fixed assets with identity</v>
      </c>
      <c r="E201" s="86"/>
      <c r="F201" s="86"/>
      <c r="G201" s="87"/>
      <c r="H201" s="84"/>
    </row>
    <row r="202" spans="1:8" ht="12.75" customHeight="1">
      <c r="A202" s="78"/>
      <c r="B202" s="71"/>
      <c r="C202" s="85"/>
      <c r="D202" s="62" t="str">
        <f>+Income!B192</f>
        <v>783 - Collecting back fees - Intangible fixed assets</v>
      </c>
      <c r="E202" s="86"/>
      <c r="F202" s="86"/>
      <c r="G202" s="87"/>
      <c r="H202" s="84"/>
    </row>
    <row r="203" spans="1:8" ht="12.75" customHeight="1">
      <c r="A203" s="78"/>
      <c r="B203" s="71"/>
      <c r="C203" s="85"/>
      <c r="D203" s="62" t="str">
        <f>+Income!B193</f>
        <v>7831 - Reclaiming Fees - Intangible Fixed Assets</v>
      </c>
      <c r="E203" s="86"/>
      <c r="F203" s="86"/>
      <c r="G203" s="87"/>
      <c r="H203" s="84"/>
    </row>
    <row r="204" spans="1:8" ht="12.75" customHeight="1">
      <c r="A204" s="78"/>
      <c r="B204" s="71"/>
      <c r="C204" s="85"/>
      <c r="D204" s="62" t="str">
        <f>+Income!B194</f>
        <v>784 - Collect money back for expenses</v>
      </c>
      <c r="E204" s="86"/>
      <c r="F204" s="86"/>
      <c r="G204" s="87"/>
      <c r="H204" s="84"/>
    </row>
    <row r="205" spans="1:8" ht="12.75" customHeight="1">
      <c r="A205" s="78"/>
      <c r="B205" s="71"/>
      <c r="C205" s="85"/>
      <c r="D205" s="62" t="str">
        <f>+Income!B195</f>
        <v>7841 - Collect money back for expenses</v>
      </c>
      <c r="E205" s="86"/>
      <c r="F205" s="86"/>
      <c r="G205" s="87"/>
      <c r="H205" s="84"/>
    </row>
    <row r="206" spans="1:8" ht="12.75" customHeight="1">
      <c r="A206" s="78"/>
      <c r="B206" s="71"/>
      <c r="C206" s="85"/>
      <c r="D206" s="62" t="str">
        <f>+Income!B196</f>
        <v>785 - Recovery of lost value - Fixed assets</v>
      </c>
      <c r="E206" s="86"/>
      <c r="F206" s="86"/>
      <c r="G206" s="87"/>
      <c r="H206" s="84"/>
    </row>
    <row r="207" spans="1:8" ht="12.75" customHeight="1">
      <c r="A207" s="78"/>
      <c r="B207" s="71"/>
      <c r="C207" s="85"/>
      <c r="D207" s="62" t="str">
        <f>+Income!B197</f>
        <v>7851 - Recovery of lost value - fixed assets</v>
      </c>
      <c r="E207" s="86"/>
      <c r="F207" s="86"/>
      <c r="G207" s="87"/>
      <c r="H207" s="84"/>
    </row>
    <row r="208" spans="1:8" ht="12.75" customHeight="1">
      <c r="A208" s="78"/>
      <c r="B208" s="71"/>
      <c r="C208" s="85"/>
      <c r="D208" s="62" t="str">
        <f>+Income!B198</f>
        <v>786 - Refund of lost value - equipment in warehouse</v>
      </c>
      <c r="E208" s="86"/>
      <c r="F208" s="86"/>
      <c r="G208" s="87"/>
      <c r="H208" s="84"/>
    </row>
    <row r="209" spans="1:8" ht="12.75" customHeight="1">
      <c r="A209" s="78"/>
      <c r="B209" s="71"/>
      <c r="C209" s="85"/>
      <c r="D209" s="62" t="str">
        <f>+Income!B199</f>
        <v>7861 - Refund of lost value - equipment in warehouse</v>
      </c>
      <c r="E209" s="86"/>
      <c r="F209" s="86"/>
      <c r="G209" s="87"/>
      <c r="H209" s="84"/>
    </row>
    <row r="210" spans="1:8" ht="12.75" customHeight="1">
      <c r="A210" s="78"/>
      <c r="B210" s="71"/>
      <c r="C210" s="85"/>
      <c r="D210" s="62" t="str">
        <f>+Income!B200</f>
        <v>787 - Collect back the loss of value - Debt must be paid</v>
      </c>
      <c r="E210" s="86"/>
      <c r="F210" s="86"/>
      <c r="G210" s="87"/>
      <c r="H210" s="84"/>
    </row>
    <row r="211" spans="1:8" ht="12.75" customHeight="1">
      <c r="A211" s="78"/>
      <c r="B211" s="71"/>
      <c r="C211" s="85"/>
      <c r="D211" s="62" t="str">
        <f>+Income!B201</f>
        <v>7871 - Recovery of loss of value - Debt must be paid</v>
      </c>
      <c r="E211" s="86"/>
      <c r="F211" s="86"/>
      <c r="G211" s="87"/>
      <c r="H211" s="84"/>
    </row>
    <row r="212" spans="1:8" ht="12.75" customHeight="1">
      <c r="A212" s="78"/>
      <c r="B212" s="71"/>
      <c r="C212" s="85"/>
      <c r="D212" s="62" t="str">
        <f>+Income!B202</f>
        <v>788 - Recovery of loss of value - financial assets</v>
      </c>
      <c r="E212" s="86"/>
      <c r="F212" s="86"/>
      <c r="G212" s="87"/>
      <c r="H212" s="84"/>
    </row>
    <row r="213" spans="1:8" ht="12.75" customHeight="1">
      <c r="A213" s="78"/>
      <c r="B213" s="71"/>
      <c r="C213" s="85"/>
      <c r="D213" s="62" t="str">
        <f>+Income!B203</f>
        <v>7881 - Recovery of loss of value - financial assets</v>
      </c>
      <c r="E213" s="86"/>
      <c r="F213" s="86"/>
      <c r="G213" s="87"/>
      <c r="H213" s="84"/>
    </row>
    <row r="214" spans="1:8" ht="12.75" customHeight="1" thickBot="1">
      <c r="A214" s="78"/>
      <c r="B214" s="71"/>
      <c r="C214" s="89"/>
      <c r="D214" s="90"/>
      <c r="E214" s="91"/>
      <c r="F214" s="91"/>
      <c r="G214" s="92"/>
      <c r="H214" s="84"/>
    </row>
    <row r="215" spans="1:8" ht="31.9" customHeight="1" thickTop="1" thickBot="1">
      <c r="A215" s="78"/>
      <c r="B215" s="71"/>
      <c r="C215" s="103" t="s">
        <v>1162</v>
      </c>
      <c r="D215" s="103"/>
      <c r="E215" s="104">
        <f>+E80+E61+E42+E43+E9</f>
        <v>700000000</v>
      </c>
      <c r="F215" s="104"/>
      <c r="G215" s="104">
        <f>+G80+G61+G42+G43+G9</f>
        <v>700000000</v>
      </c>
      <c r="H215" s="84"/>
    </row>
    <row r="216" spans="1:8" ht="12.75" customHeight="1" thickTop="1">
      <c r="A216" s="78"/>
      <c r="B216" s="71"/>
      <c r="C216" s="71"/>
      <c r="D216" s="71"/>
      <c r="E216" s="68"/>
      <c r="F216" s="68"/>
      <c r="G216" s="68"/>
      <c r="H216" s="74"/>
    </row>
    <row r="219" spans="1:8">
      <c r="C219" s="105" t="s">
        <v>1163</v>
      </c>
    </row>
    <row r="220" spans="1:8" ht="12.75" customHeight="1" thickBot="1">
      <c r="A220" s="78"/>
      <c r="B220" s="71"/>
      <c r="C220" s="71"/>
      <c r="D220" s="71"/>
      <c r="E220" s="68"/>
      <c r="F220" s="68"/>
      <c r="G220" s="68"/>
      <c r="H220" s="74"/>
    </row>
    <row r="221" spans="1:8" s="105" customFormat="1" ht="12.75" customHeight="1" thickTop="1">
      <c r="A221" s="107"/>
      <c r="B221" s="108" t="s">
        <v>1163</v>
      </c>
      <c r="C221" s="109"/>
      <c r="D221" s="110"/>
      <c r="E221" s="111"/>
      <c r="F221" s="111"/>
      <c r="G221" s="112"/>
      <c r="H221" s="113"/>
    </row>
    <row r="222" spans="1:8" ht="12.75" customHeight="1">
      <c r="A222" s="78"/>
      <c r="B222" s="85"/>
      <c r="C222" s="62" t="str">
        <f>+'Cost of Salesa Expenses'!A281</f>
        <v>6482 - ພັນທະບໍລິການ ສຳລັບ ຕູ້ສິນຄ້າ ຜ່ານແດນສາກົນ Transit</v>
      </c>
      <c r="D222" s="62" t="str">
        <f>+'Cost of Salesa Expenses'!B281</f>
        <v>6482 - Service obligations for international transit containers</v>
      </c>
      <c r="E222" s="86">
        <v>-100000000</v>
      </c>
      <c r="F222" s="86"/>
      <c r="G222" s="86">
        <v>-100000000</v>
      </c>
      <c r="H222" s="84"/>
    </row>
    <row r="223" spans="1:8" ht="12.75" customHeight="1">
      <c r="A223" s="78"/>
      <c r="B223" s="85"/>
      <c r="C223" s="62" t="str">
        <f>+'Cost of Salesa Expenses'!A282</f>
        <v>6482.01 - ພັນທະບໍລິການ ສຳລັບ ຕູ້ສິນຄ້າ ຜ່ານແດນສາກົນ Transit -ຕົ້ນທຶນການບໍລິການ</v>
      </c>
      <c r="D223" s="62" t="str">
        <f>+'Cost of Salesa Expenses'!B282</f>
        <v>6482.01 - Service obligations for international transit containers - cost of service</v>
      </c>
      <c r="E223" s="86"/>
      <c r="F223" s="86"/>
      <c r="G223" s="87"/>
      <c r="H223" s="84"/>
    </row>
    <row r="224" spans="1:8" ht="12.75" customHeight="1">
      <c r="A224" s="78"/>
      <c r="B224" s="85"/>
      <c r="C224" s="62" t="str">
        <f>+'Cost of Salesa Expenses'!A283</f>
        <v>6483 - "ພັນທະບໍລິການ ສຳລັບ ຕູ້ສິນຄ້ານຳເຂົ້າ ເພື່ອສົ່ງອອກຕໍ່ "</v>
      </c>
      <c r="D224" s="62" t="str">
        <f>+'Cost of Salesa Expenses'!B283</f>
        <v>6483 - "Service Obligation for Containers Imported for Export"</v>
      </c>
      <c r="E224" s="86"/>
      <c r="F224" s="86"/>
      <c r="G224" s="87"/>
      <c r="H224" s="84"/>
    </row>
    <row r="225" spans="1:8" ht="12.75" customHeight="1">
      <c r="A225" s="78"/>
      <c r="B225" s="85"/>
      <c r="C225" s="62" t="str">
        <f>+'Cost of Salesa Expenses'!A284</f>
        <v>6483.01 - ພັນທະບໍລິການ ສຳລັບ ຕູ້ສິນຄ້ານຳເຂົ້າ ເພື່ອສົ່ງອອກຕໍ່ -ຕົ້ນທຶນການບໍລິການ</v>
      </c>
      <c r="D225" s="62" t="str">
        <f>+'Cost of Salesa Expenses'!B284</f>
        <v>6483.01 - Service Obligation for Containers Imported for Export - Cost of Service</v>
      </c>
      <c r="E225" s="86"/>
      <c r="F225" s="86"/>
      <c r="G225" s="87"/>
      <c r="H225" s="84"/>
    </row>
    <row r="226" spans="1:8" ht="12.75" customHeight="1">
      <c r="A226" s="78"/>
      <c r="B226" s="85"/>
      <c r="C226" s="62" t="str">
        <f>+'Cost of Salesa Expenses'!A285</f>
        <v>6484 - "ພັນທະບໍລິການ ສຳລັບຕູ້ສິນຄ້າ  ສົ່ງອອກທາງລົດໄຟ  "</v>
      </c>
      <c r="D226" s="62" t="str">
        <f>+'Cost of Salesa Expenses'!B285</f>
        <v>6484 - "Service Obligation for Rail Export Containers"</v>
      </c>
      <c r="E226" s="86"/>
      <c r="F226" s="86"/>
      <c r="G226" s="87"/>
      <c r="H226" s="84"/>
    </row>
    <row r="227" spans="1:8" ht="12.75" customHeight="1">
      <c r="A227" s="78"/>
      <c r="B227" s="85"/>
      <c r="C227" s="62" t="str">
        <f>+'Cost of Salesa Expenses'!A286</f>
        <v>6484.01 - "ພັນທະບໍລິການ ສຳລັບຕູ້ສິນຄ້າ  ສົ່ງອອກທາງລົດໄຟ  "</v>
      </c>
      <c r="D227" s="62" t="str">
        <f>+'Cost of Salesa Expenses'!B286</f>
        <v>6484.01 - "Service Obligation for Rail Export Containers"</v>
      </c>
      <c r="E227" s="86"/>
      <c r="F227" s="86"/>
      <c r="G227" s="87"/>
      <c r="H227" s="84"/>
    </row>
    <row r="228" spans="1:8" ht="12.75" customHeight="1">
      <c r="A228" s="78"/>
      <c r="B228" s="85"/>
      <c r="C228" s="62" t="str">
        <f>+'Cost of Salesa Expenses'!A287</f>
        <v>6485 - "ພັນທະບໍລິການ ສຳລັບຕູ້ສິນຄ້າ  ນຳເຂົ້າທາງລົດໄຟ "</v>
      </c>
      <c r="D228" s="62" t="str">
        <f>+'Cost of Salesa Expenses'!B287</f>
        <v>6485 - "Service Obligation for Railway Import Containers"</v>
      </c>
      <c r="E228" s="86"/>
      <c r="F228" s="86"/>
      <c r="G228" s="87"/>
      <c r="H228" s="84"/>
    </row>
    <row r="229" spans="1:8" ht="12.75" customHeight="1">
      <c r="A229" s="78"/>
      <c r="B229" s="85"/>
      <c r="C229" s="62" t="str">
        <f>+'Cost of Salesa Expenses'!A288</f>
        <v>6485.01 - "ພັນທະບໍລິການ ສຳລັບຕູ້ສິນຄ້າ  ນຳເຂົ້າທາງລົດໄຟ "</v>
      </c>
      <c r="D229" s="62" t="str">
        <f>+'Cost of Salesa Expenses'!B288</f>
        <v>6485.01 - "Service Obligation for Railway Import Containers"</v>
      </c>
      <c r="E229" s="86"/>
      <c r="F229" s="86"/>
      <c r="G229" s="87"/>
      <c r="H229" s="84"/>
    </row>
    <row r="230" spans="1:8" ht="12.75" customHeight="1">
      <c r="A230" s="78"/>
      <c r="B230" s="85"/>
      <c r="C230" s="62" t="str">
        <f>+'Cost of Salesa Expenses'!A289</f>
        <v>6486 - "ຄ່າບໍລິຫານຈັດການລົດຂາເຂົ້າດ່ານ TDP "</v>
      </c>
      <c r="D230" s="62" t="str">
        <f>+'Cost of Salesa Expenses'!B289</f>
        <v>6486 - "Administrative fee for handling vehicles entering TDP checkpoint"</v>
      </c>
      <c r="E230" s="86"/>
      <c r="F230" s="86"/>
      <c r="G230" s="87"/>
      <c r="H230" s="84"/>
    </row>
    <row r="231" spans="1:8" ht="12.75" customHeight="1">
      <c r="A231" s="78"/>
      <c r="B231" s="85"/>
      <c r="C231" s="62" t="str">
        <f>+'Cost of Salesa Expenses'!A290</f>
        <v>6486.01 - "ຄ່າບໍລິຫານຈັດການລົດຂາເຂົ້າດ່ານ TDP "</v>
      </c>
      <c r="D231" s="62" t="str">
        <f>+'Cost of Salesa Expenses'!B290</f>
        <v>6486.01 - "Administrative fees for handling vehicles entering the TDP checkpoint"</v>
      </c>
      <c r="E231" s="86"/>
      <c r="F231" s="86"/>
      <c r="G231" s="87"/>
      <c r="H231" s="84"/>
    </row>
    <row r="232" spans="1:8" ht="12.75" customHeight="1">
      <c r="A232" s="78"/>
      <c r="B232" s="85"/>
      <c r="C232" s="62" t="str">
        <f>+'Cost of Salesa Expenses'!A365</f>
        <v>6831.01 - ຄ່າຫຼຸ້ຍຫ້ຽນ ບໍ່ມີຕົວຕົນ ໂປຣແກຣມ - ຕົ້ນທຶນການບໍລິການ</v>
      </c>
      <c r="D232" s="62" t="str">
        <f>+'Cost of Salesa Expenses'!B365</f>
        <v>6831.01 - Intangible fees Program - Service cost</v>
      </c>
      <c r="E232" s="86"/>
      <c r="F232" s="86"/>
      <c r="G232" s="87"/>
      <c r="H232" s="84"/>
    </row>
    <row r="233" spans="1:8" ht="12.75" customHeight="1">
      <c r="A233" s="78"/>
      <c r="B233" s="85"/>
      <c r="C233" s="62" t="str">
        <f>+'Cost of Salesa Expenses'!A366</f>
        <v>6831.02 - ຄ່າຫຼຸ້ຍຫ້ຽນ ບໍ່ມີຕົວຕົນ ໂປຣແກຣມ - ຄ່າໃຊ້ຈ່າຍການຂາຍການບໍລິການ</v>
      </c>
      <c r="D233" s="62" t="str">
        <f>+'Cost of Salesa Expenses'!B366</f>
        <v>6831.02 - Intangible fees Program - Cost of selling services</v>
      </c>
      <c r="E233" s="86"/>
      <c r="F233" s="86"/>
      <c r="G233" s="87"/>
      <c r="H233" s="84"/>
    </row>
    <row r="234" spans="1:8" ht="12.75" customHeight="1">
      <c r="A234" s="78"/>
      <c r="B234" s="85"/>
      <c r="C234" s="62" t="str">
        <f>+'Cost of Salesa Expenses'!A367</f>
        <v>6831.03 - ຄ່າຫຼຸ້ຍຫ້ຽນ ບໍ່ມີຕົວຕົນ ໂປຣແກຣມ - ຄ່າໃຊ້ຈ່າຍບໍລິຫານ</v>
      </c>
      <c r="D234" s="62" t="str">
        <f>+'Cost of Salesa Expenses'!B367</f>
        <v>6831.03 - Intangible fees Program - Administrative expenses</v>
      </c>
      <c r="E234" s="86"/>
      <c r="F234" s="86"/>
      <c r="G234" s="87"/>
      <c r="H234" s="84"/>
    </row>
    <row r="235" spans="1:8" ht="12.75" customHeight="1">
      <c r="A235" s="78"/>
      <c r="B235" s="85"/>
      <c r="C235" s="62" t="str">
        <f>+'Cost of Salesa Expenses'!A368</f>
        <v>684 - ຫັກ​ເງິນ​ແຮ ​ເພື່ອ​ລາຍ​ຈ່າຍ</v>
      </c>
      <c r="D235" s="62" t="str">
        <f>+'Cost of Salesa Expenses'!B368</f>
        <v>684 - Deduction of money for expenses</v>
      </c>
      <c r="E235" s="86"/>
      <c r="F235" s="86"/>
      <c r="G235" s="87"/>
      <c r="H235" s="84"/>
    </row>
    <row r="236" spans="1:8" ht="12.75" customHeight="1">
      <c r="A236" s="78"/>
      <c r="B236" s="85"/>
      <c r="C236" s="62" t="str">
        <f>+'Cost of Salesa Expenses'!A369</f>
        <v>6841 - ຫັກ​ເງິນ​ແຮ ​ເພື່ອ​ລາຍ​ຈ່າຍ</v>
      </c>
      <c r="D236" s="62" t="str">
        <f>+'Cost of Salesa Expenses'!B369</f>
        <v>6841 - Deduction of money for expenses</v>
      </c>
      <c r="E236" s="86"/>
      <c r="F236" s="86"/>
      <c r="G236" s="87"/>
      <c r="H236" s="84"/>
    </row>
    <row r="237" spans="1:8" ht="12.75" customHeight="1">
      <c r="A237" s="78"/>
      <c r="B237" s="85"/>
      <c r="C237" s="62" t="str">
        <f>+'Cost of Salesa Expenses'!A370</f>
        <v>685 - ຫັກ​ຄ່າ​ສູນ​ເສຍ​ມູນ​ຄ່າ - ຊັບ​ສົມ​ບັດ​ຄົງ​ທີ່</v>
      </c>
      <c r="D237" s="62" t="str">
        <f>+'Cost of Salesa Expenses'!B370</f>
        <v>685 - Deduction of depreciation - fixed assets</v>
      </c>
      <c r="E237" s="86"/>
      <c r="F237" s="86"/>
      <c r="G237" s="87"/>
      <c r="H237" s="84"/>
    </row>
    <row r="238" spans="1:8" ht="12.75" customHeight="1">
      <c r="A238" s="78"/>
      <c r="B238" s="114"/>
      <c r="C238" s="85" t="str">
        <f>+'Cost of Salesa Expenses'!A371</f>
        <v>6851 - ຫັກ​ຄ່າ​ສູນ​ເສຍ​ມູນ​ຄ່າ - ຊັບ​ສົມ​ບັດ​ຄົງ​ທີ່</v>
      </c>
      <c r="D238" s="62" t="str">
        <f>+'Cost of Salesa Expenses'!B371</f>
        <v>6851 - Impairment deduction - Fixed assets</v>
      </c>
      <c r="E238" s="86"/>
      <c r="F238" s="86"/>
      <c r="G238" s="87"/>
      <c r="H238" s="84"/>
    </row>
    <row r="239" spans="1:8" ht="12.75" customHeight="1">
      <c r="A239" s="78"/>
      <c r="B239" s="114"/>
      <c r="C239" s="85" t="str">
        <f>+'Cost of Salesa Expenses'!A372</f>
        <v>6851.01 - ຫັກ​ຄ່າ​ສູນ​ເສຍ​ມູນ​ຄ່າ - ຊັບ​ສົມ​ບັດ​ຄົງ​ທີ່</v>
      </c>
      <c r="D239" s="62" t="str">
        <f>+'Cost of Salesa Expenses'!B372</f>
        <v>6851.01 - Impairment deduction - Fixed assets</v>
      </c>
      <c r="E239" s="86"/>
      <c r="F239" s="86"/>
      <c r="G239" s="87"/>
      <c r="H239" s="84"/>
    </row>
    <row r="240" spans="1:8" ht="12.75" customHeight="1">
      <c r="A240" s="78"/>
      <c r="B240" s="114"/>
      <c r="C240" s="85" t="str">
        <f>+'Cost of Salesa Expenses'!A373</f>
        <v>686 - ຫັກ​ຄ່າສູນ​ເສຍ​ມູນ​ຄ່າ ​- ​ເຄື່ອງ​ໃນ​ສາງ</v>
      </c>
      <c r="D240" s="62" t="str">
        <f>+'Cost of Salesa Expenses'!B373</f>
        <v>686 - Deduction of depreciation - Goods in warehouse</v>
      </c>
      <c r="E240" s="86"/>
      <c r="F240" s="86"/>
      <c r="G240" s="87"/>
      <c r="H240" s="84"/>
    </row>
    <row r="241" spans="1:8" ht="12.75" customHeight="1">
      <c r="A241" s="78"/>
      <c r="B241" s="114"/>
      <c r="C241" s="85" t="str">
        <f>+'Cost of Salesa Expenses'!A374</f>
        <v>6861 - ຫັກ​ຄ່າສູນ​ເສຍ​ມູນ​ຄ່າ ​- ​ເຄື່ອງ​ໃນ​ສາງ</v>
      </c>
      <c r="D241" s="62" t="str">
        <f>+'Cost of Salesa Expenses'!B374</f>
        <v>6861 - Impairment deduction - Goods in warehouse</v>
      </c>
      <c r="E241" s="86"/>
      <c r="F241" s="86"/>
      <c r="G241" s="87"/>
      <c r="H241" s="84"/>
    </row>
    <row r="242" spans="1:8" ht="12.75" customHeight="1">
      <c r="A242" s="78"/>
      <c r="B242" s="114"/>
      <c r="C242" s="85" t="str">
        <f>+'Cost of Salesa Expenses'!A375</f>
        <v>687 - ຫັກຄ່າ​ສູນ​ເສຍ​ມູນ​ຄ່າ - ໜີ້​ຕ້ອງ​ຮັບ​ທວງ​ຍາກ</v>
      </c>
      <c r="D242" s="62" t="str">
        <f>+'Cost of Salesa Expenses'!B375</f>
        <v>687 - Deduction of loss of value - Debt must be paid off</v>
      </c>
      <c r="E242" s="86"/>
      <c r="F242" s="86"/>
      <c r="G242" s="87"/>
      <c r="H242" s="84"/>
    </row>
    <row r="243" spans="1:8" ht="12.75" customHeight="1">
      <c r="A243" s="78"/>
      <c r="B243" s="114"/>
      <c r="C243" s="85" t="str">
        <f>+'Cost of Salesa Expenses'!A376</f>
        <v>6871 - ຫັກຄ່າ​ສູນ​ເສຍ​ມູນ​ຄ່າ - ໜີ້​ຕ້ອງ​ຮັບ​ທວງ​ຍາກ</v>
      </c>
      <c r="D243" s="62" t="str">
        <f>+'Cost of Salesa Expenses'!B376</f>
        <v>6871 - Loss of value deduction - Debt must be paid</v>
      </c>
      <c r="E243" s="86"/>
      <c r="F243" s="86"/>
      <c r="G243" s="87"/>
      <c r="H243" s="84"/>
    </row>
    <row r="244" spans="1:8" ht="12.75" customHeight="1">
      <c r="A244" s="78"/>
      <c r="B244" s="114"/>
      <c r="C244" s="85" t="str">
        <f>+'Cost of Salesa Expenses'!A377</f>
        <v>688 - ຫັກຄ່າ​ສູນ​ເສຍ​ມູນ​ຄ່າ - ຊັບ​ສິນ​ການ​ເງິນ</v>
      </c>
      <c r="D244" s="62" t="str">
        <f>+'Cost of Salesa Expenses'!B377</f>
        <v>688 - Impairment deduction - Financial assets</v>
      </c>
      <c r="E244" s="86"/>
      <c r="F244" s="86"/>
      <c r="G244" s="87"/>
      <c r="H244" s="84"/>
    </row>
    <row r="245" spans="1:8" ht="12.75" customHeight="1" thickBot="1">
      <c r="A245" s="78"/>
      <c r="B245" s="114"/>
      <c r="C245" s="89" t="str">
        <f>+'Cost of Salesa Expenses'!A378</f>
        <v>6881 - ຫັກຄ່າ​ສູນ​ເສຍ​ມູນ​ຄ່າ - ຊັບ​ສິນ​ການ​ເງິນ</v>
      </c>
      <c r="D245" s="90" t="str">
        <f>+'Cost of Salesa Expenses'!B378</f>
        <v>6881 - Impairment deduction - Financial assets</v>
      </c>
      <c r="E245" s="91"/>
      <c r="F245" s="91"/>
      <c r="G245" s="92"/>
      <c r="H245" s="84"/>
    </row>
    <row r="246" spans="1:8" ht="12.75" customHeight="1" thickTop="1">
      <c r="A246" s="78"/>
      <c r="B246" s="71"/>
      <c r="C246" s="71"/>
      <c r="D246" s="71"/>
      <c r="E246" s="68"/>
      <c r="F246" s="68"/>
      <c r="G246" s="68"/>
      <c r="H246" s="74"/>
    </row>
    <row r="247" spans="1:8" ht="12.75" customHeight="1" thickBot="1">
      <c r="A247" s="78"/>
      <c r="B247" s="70"/>
      <c r="C247" s="71"/>
      <c r="D247" s="71"/>
      <c r="E247" s="68"/>
      <c r="F247" s="68"/>
      <c r="G247" s="68"/>
      <c r="H247" s="74"/>
    </row>
    <row r="248" spans="1:8" ht="16.5" thickTop="1" thickBot="1">
      <c r="A248" s="78"/>
      <c r="B248" s="71" t="s">
        <v>1164</v>
      </c>
      <c r="C248" s="71"/>
      <c r="D248" s="71"/>
      <c r="E248" s="104">
        <f>+E215+E222</f>
        <v>600000000</v>
      </c>
      <c r="F248" s="104"/>
      <c r="G248" s="104">
        <f>+G215+G222</f>
        <v>600000000</v>
      </c>
      <c r="H248" s="74"/>
    </row>
    <row r="249" spans="1:8" ht="12.75" customHeight="1" thickTop="1">
      <c r="A249" s="78"/>
      <c r="B249" s="71"/>
      <c r="C249" s="71"/>
      <c r="D249" s="71"/>
      <c r="E249" s="68"/>
      <c r="F249" s="68"/>
      <c r="G249" s="68"/>
      <c r="H249" s="74"/>
    </row>
    <row r="250" spans="1:8" ht="12.75" customHeight="1">
      <c r="A250" s="78"/>
      <c r="B250" s="71"/>
      <c r="C250" s="71"/>
      <c r="D250" s="71"/>
      <c r="E250" s="68"/>
      <c r="F250" s="68"/>
      <c r="G250" s="68"/>
      <c r="H250" s="74"/>
    </row>
    <row r="251" spans="1:8" ht="12.75" customHeight="1">
      <c r="A251" s="78"/>
      <c r="B251" s="71"/>
      <c r="C251" s="71"/>
      <c r="D251" s="71"/>
      <c r="E251" s="68"/>
      <c r="F251" s="68"/>
      <c r="G251" s="68"/>
      <c r="H251" s="74"/>
    </row>
    <row r="252" spans="1:8" ht="12.75" customHeight="1" thickBot="1">
      <c r="A252" s="78"/>
      <c r="B252" s="70" t="s">
        <v>1165</v>
      </c>
      <c r="C252" s="71"/>
      <c r="D252" s="71"/>
      <c r="E252" s="68"/>
      <c r="F252" s="68"/>
      <c r="G252" s="68"/>
      <c r="H252" s="74"/>
    </row>
    <row r="253" spans="1:8" ht="12.75" customHeight="1" thickTop="1">
      <c r="A253" s="78"/>
      <c r="B253" s="115" t="s">
        <v>1166</v>
      </c>
      <c r="C253" s="116"/>
      <c r="D253" s="116"/>
      <c r="E253" s="117"/>
      <c r="F253" s="117"/>
      <c r="G253" s="118"/>
      <c r="H253" s="84"/>
    </row>
    <row r="254" spans="1:8" ht="12.75" customHeight="1">
      <c r="A254" s="78"/>
      <c r="B254" s="119"/>
      <c r="C254" s="120" t="str">
        <f>+'Cost of Salesa Expenses'!A56</f>
        <v>6113 - ຈ້າງ​ທາງ​ນອກ​ ພະນັກງານຈ້າງທາງນອກວິສະຫະກໍຳ</v>
      </c>
      <c r="D254" s="120" t="str">
        <f>+'Cost of Salesa Expenses'!B56</f>
        <v>6113 - Hiring from outside</v>
      </c>
      <c r="E254" s="86">
        <v>-15000000</v>
      </c>
      <c r="F254" s="86"/>
      <c r="G254" s="87">
        <v>-15000000</v>
      </c>
      <c r="H254" s="84"/>
    </row>
    <row r="255" spans="1:8" ht="12.75" customHeight="1">
      <c r="A255" s="78"/>
      <c r="B255" s="119"/>
      <c r="C255" s="120" t="str">
        <f>+'Cost of Salesa Expenses'!A57</f>
        <v>6113.01 - ຈ້າງ​ທາງ​ນອກ​ ພະນັກງານຈ້າງທາງນອກວິສະຫະກໍຳ -ຕົ້ນທຶນການບໍລິການ</v>
      </c>
      <c r="D255" s="120" t="str">
        <f>+'Cost of Salesa Expenses'!B57</f>
        <v>6113.01 - Outsourced employees - cost of services</v>
      </c>
      <c r="E255" s="121"/>
      <c r="F255" s="121"/>
      <c r="G255" s="122"/>
      <c r="H255" s="84"/>
    </row>
    <row r="256" spans="1:8" ht="12.75" customHeight="1">
      <c r="A256" s="78"/>
      <c r="B256" s="119"/>
      <c r="C256" s="120" t="str">
        <f>+'Cost of Salesa Expenses'!A58</f>
        <v>6113.02 - ຈ້າງ​ທາງ​ນອກ​ ພະນັກງານຈ້າງທາງນອກວິສະຫະກໍາ-ຄ່າໃຊ້ຈ່າຍການຂາຍການບໍລິການ</v>
      </c>
      <c r="D256" s="120" t="str">
        <f>+'Cost of Salesa Expenses'!B58</f>
        <v>6113.02 - Outsourced engineering - cost of selling services</v>
      </c>
      <c r="E256" s="121"/>
      <c r="F256" s="121"/>
      <c r="G256" s="122"/>
      <c r="H256" s="84"/>
    </row>
    <row r="257" spans="1:8" ht="12.75" customHeight="1">
      <c r="A257" s="78"/>
      <c r="B257" s="119"/>
      <c r="C257" s="120" t="str">
        <f>+'Cost of Salesa Expenses'!A59</f>
        <v>6113.03 - ຈ້າງ​ທາງ​ນອກ​ ພະນັກງານຈ້າງທາງນອກວິສະຫະກໍຳ - ຄ່າໃຊ້ຈ່າຍບໍລິຫານ</v>
      </c>
      <c r="D257" s="120" t="str">
        <f>+'Cost of Salesa Expenses'!B59</f>
        <v>6113.03 - Outsourced employees - Administrative expenses</v>
      </c>
      <c r="E257" s="121"/>
      <c r="F257" s="121"/>
      <c r="G257" s="122"/>
      <c r="H257" s="84"/>
    </row>
    <row r="258" spans="1:8" ht="12.75" customHeight="1">
      <c r="A258" s="78"/>
      <c r="B258" s="119"/>
      <c r="C258" s="120" t="str">
        <f>+'Cost of Salesa Expenses'!A203</f>
        <v>63 - ຄ່າ​ໃຊ້​​ຈ່າຍ​ໃຫ້​ພະນັກງານ</v>
      </c>
      <c r="D258" s="120" t="str">
        <f>+'Cost of Salesa Expenses'!B203</f>
        <v>63 - Expenses for employees</v>
      </c>
      <c r="E258" s="121"/>
      <c r="F258" s="121"/>
      <c r="G258" s="122"/>
      <c r="H258" s="84"/>
    </row>
    <row r="259" spans="1:8" ht="12.75" customHeight="1">
      <c r="A259" s="78"/>
      <c r="B259" s="119"/>
      <c r="C259" s="120" t="str">
        <f>+'Cost of Salesa Expenses'!A204</f>
        <v>631 - ຄ່າ​ທົດ​ແທນ​ແຮງ​ງານ ໃຫ້​ພະນັກງານ</v>
      </c>
      <c r="D259" s="120" t="str">
        <f>+'Cost of Salesa Expenses'!B204</f>
        <v>631 - Labor compensation for employees</v>
      </c>
      <c r="E259" s="121"/>
      <c r="F259" s="121"/>
      <c r="G259" s="122"/>
      <c r="H259" s="84"/>
    </row>
    <row r="260" spans="1:8" ht="12.75" customHeight="1">
      <c r="A260" s="78"/>
      <c r="B260" s="119"/>
      <c r="C260" s="120" t="str">
        <f>+'Cost of Salesa Expenses'!A205</f>
        <v>6311 - ຄ່າ​ທົດ​ແທນ​ແຮງ​ງານ ໃຫ້​ພະນັກງານ</v>
      </c>
      <c r="D260" s="120" t="str">
        <f>+'Cost of Salesa Expenses'!B205</f>
        <v>6311 - Labor compensation for employees</v>
      </c>
      <c r="E260" s="121"/>
      <c r="F260" s="121"/>
      <c r="G260" s="122"/>
      <c r="H260" s="84"/>
    </row>
    <row r="261" spans="1:8" ht="12.75" customHeight="1">
      <c r="A261" s="78"/>
      <c r="B261" s="119"/>
      <c r="C261" s="120" t="str">
        <f>+'Cost of Salesa Expenses'!A206</f>
        <v>6311.01 - ຄ່າ​ທົດ​ແທນ​ແຮງ​ງານ ໃຫ້​ພະນັກງານ - ຕົ້ນທຶນການບໍລິການ</v>
      </c>
      <c r="D261" s="120" t="str">
        <f>+'Cost of Salesa Expenses'!B206</f>
        <v>6311.01 - Labor compensation for employees - Service cost</v>
      </c>
      <c r="E261" s="121"/>
      <c r="F261" s="121"/>
      <c r="G261" s="122"/>
      <c r="H261" s="84"/>
    </row>
    <row r="262" spans="1:8" ht="12.75" customHeight="1">
      <c r="A262" s="78"/>
      <c r="B262" s="119"/>
      <c r="C262" s="120" t="str">
        <f>+'Cost of Salesa Expenses'!A207</f>
        <v>6311.02 - ຄ່າ​ທົດ​ແທນ​ແຮງ​ງານ ໃຫ້​ພະນັກງານ - ຄ່າໃຊ້ຈ່າຍການຂາຍການບໍລິການ</v>
      </c>
      <c r="D262" s="120" t="str">
        <f>+'Cost of Salesa Expenses'!B207</f>
        <v>6311.02 - Labor compensation for employees - Cost of selling services</v>
      </c>
      <c r="E262" s="121"/>
      <c r="F262" s="121"/>
      <c r="G262" s="122"/>
      <c r="H262" s="84"/>
    </row>
    <row r="263" spans="1:8" ht="12.75" customHeight="1">
      <c r="A263" s="78"/>
      <c r="B263" s="119"/>
      <c r="C263" s="120" t="str">
        <f>+'Cost of Salesa Expenses'!A208</f>
        <v>6311.03 - ຄ່າ​ທົດ​ແທນ​ແຮງ​ງານ ໃຫ້​ພະນັກງານ - ຄ່າໃຊ້ຈ່າຍບໍລິຫານ</v>
      </c>
      <c r="D263" s="120" t="str">
        <f>+'Cost of Salesa Expenses'!B208</f>
        <v>6311.03 - Labor compensation for employees - Administrative expenses</v>
      </c>
      <c r="E263" s="121"/>
      <c r="F263" s="121"/>
      <c r="G263" s="122"/>
      <c r="H263" s="84"/>
    </row>
    <row r="264" spans="1:8" ht="12.75" customHeight="1">
      <c r="A264" s="78"/>
      <c r="B264" s="119"/>
      <c r="C264" s="120" t="str">
        <f>+'Cost of Salesa Expenses'!A215</f>
        <v>634 - ຜົນ​ປະ​ໂຫຍດ​ດ້ານ​ວັດ​ຖຸ</v>
      </c>
      <c r="D264" s="120" t="str">
        <f>+'Cost of Salesa Expenses'!B215</f>
        <v>634 - Material benefits</v>
      </c>
      <c r="E264" s="121"/>
      <c r="F264" s="121"/>
      <c r="G264" s="122"/>
      <c r="H264" s="84"/>
    </row>
    <row r="265" spans="1:8" ht="12.75" customHeight="1">
      <c r="A265" s="78"/>
      <c r="B265" s="119"/>
      <c r="C265" s="120" t="str">
        <f>+'Cost of Salesa Expenses'!A216</f>
        <v>6341 - ຜົນ​ປະ​ໂຫຍດ​ດ້ານ​ວັດ​ຖຸ ໃຫ້​ພະນັກງານ</v>
      </c>
      <c r="D265" s="120" t="str">
        <f>+'Cost of Salesa Expenses'!B216</f>
        <v>6341 - Material benefits for employees</v>
      </c>
      <c r="E265" s="121"/>
      <c r="F265" s="121"/>
      <c r="G265" s="122"/>
      <c r="H265" s="84"/>
    </row>
    <row r="266" spans="1:8" ht="12.75" customHeight="1">
      <c r="A266" s="78"/>
      <c r="B266" s="119"/>
      <c r="C266" s="120" t="str">
        <f>+'Cost of Salesa Expenses'!A217</f>
        <v>6341.01 - ຜົນ​ປະ​ໂຫຍດ​ດ້ານ​ວັດ​ຖຸ ໃຫ້​ພະນັກງານ - ຕົ້ນທຶນການບໍລິການ</v>
      </c>
      <c r="D266" s="120" t="str">
        <f>+'Cost of Salesa Expenses'!B217</f>
        <v>6341.01 - Material benefits for employees - Cost of services</v>
      </c>
      <c r="E266" s="121"/>
      <c r="F266" s="121"/>
      <c r="G266" s="122"/>
      <c r="H266" s="84"/>
    </row>
    <row r="267" spans="1:8" ht="12.75" customHeight="1">
      <c r="A267" s="78"/>
      <c r="B267" s="119"/>
      <c r="C267" s="120" t="str">
        <f>+'Cost of Salesa Expenses'!A218</f>
        <v>6341.02 - ຜົນ​ປະ​ໂຫຍດ​ດ້ານ​ວັດ​ຖຸ ໃຫ້​ພະນັກງານ - ຄ່າໃຊ້ຈ່າຍການຂາຍການບໍລິການ</v>
      </c>
      <c r="D267" s="120" t="str">
        <f>+'Cost of Salesa Expenses'!B218</f>
        <v>6341.02 - Material benefits to employees - Cost of selling services</v>
      </c>
      <c r="E267" s="121"/>
      <c r="F267" s="121"/>
      <c r="G267" s="122"/>
      <c r="H267" s="84"/>
    </row>
    <row r="268" spans="1:8" ht="12.75" customHeight="1">
      <c r="A268" s="78"/>
      <c r="B268" s="119"/>
      <c r="C268" s="120" t="str">
        <f>+'Cost of Salesa Expenses'!A219</f>
        <v>6341.03 - ຜົນ​ປະ​ໂຫຍດ​ດ້ານ​ວັດ​ຖຸ ໃຫ້​ພະນັກງານ - ຄ່າໃຊ້ຈ່າຍບໍລິຫານ</v>
      </c>
      <c r="D268" s="120" t="str">
        <f>+'Cost of Salesa Expenses'!B219</f>
        <v>6341.03 - Material benefits for employees - Administrative expenses</v>
      </c>
      <c r="E268" s="121"/>
      <c r="F268" s="121"/>
      <c r="G268" s="122"/>
      <c r="H268" s="84"/>
    </row>
    <row r="269" spans="1:8" ht="12.75" customHeight="1">
      <c r="A269" s="78"/>
      <c r="B269" s="119"/>
      <c r="C269" s="120" t="str">
        <f>+'Cost of Salesa Expenses'!A220</f>
        <v>635 - ​ເງິນ​ບຳລຸງ​ໃຫ້​ອົງການ​ປະກັນ​ສັງຄົມ</v>
      </c>
      <c r="D269" s="120" t="str">
        <f>+'Cost of Salesa Expenses'!B220</f>
        <v>635 - Maintenance money for social security organizations</v>
      </c>
      <c r="E269" s="121"/>
      <c r="F269" s="121"/>
      <c r="G269" s="122"/>
      <c r="H269" s="84"/>
    </row>
    <row r="270" spans="1:8" ht="12.75" customHeight="1">
      <c r="A270" s="78"/>
      <c r="B270" s="119"/>
      <c r="C270" s="120" t="str">
        <f>+'Cost of Salesa Expenses'!A221</f>
        <v>6351 - ​ເງິນ​ບຳລຸງ​ໃຫ້​ອົງການ​ປະກັນ​ສັງຄົມ</v>
      </c>
      <c r="D270" s="120" t="str">
        <f>+'Cost of Salesa Expenses'!B221</f>
        <v>6351 - Maintenance money for social security organizations</v>
      </c>
      <c r="E270" s="121"/>
      <c r="F270" s="121"/>
      <c r="G270" s="122"/>
      <c r="H270" s="84"/>
    </row>
    <row r="271" spans="1:8" ht="12.75" customHeight="1">
      <c r="A271" s="78"/>
      <c r="B271" s="119"/>
      <c r="C271" s="120" t="str">
        <f>+'Cost of Salesa Expenses'!A222</f>
        <v>6351.01 - ​ເງິນ​ບຳລຸງ​ໃຫ້​ອົງການ​ປະກັນ​ສັງຄົມ - ຕົ້ນທຶນການບໍລິການ</v>
      </c>
      <c r="D271" s="120" t="str">
        <f>+'Cost of Salesa Expenses'!B222</f>
        <v>6351.01 - Maintenance money for social security organizations - Service cost</v>
      </c>
      <c r="E271" s="121"/>
      <c r="F271" s="121"/>
      <c r="G271" s="122"/>
      <c r="H271" s="84"/>
    </row>
    <row r="272" spans="1:8" ht="12.75" customHeight="1">
      <c r="A272" s="78"/>
      <c r="B272" s="123"/>
      <c r="C272" s="119" t="str">
        <f>+'Cost of Salesa Expenses'!A223</f>
        <v>6351.02 - ​ເງິນ​ບຳລຸງ​ໃຫ້​ອົງການ​ປະກັນ​ສັງຄົມ - ຄ່າໃຊ້ຈ່າຍການຂາຍການບໍລິການ</v>
      </c>
      <c r="D272" s="120" t="str">
        <f>+'Cost of Salesa Expenses'!B223</f>
        <v>6351.02 - Maintenance money for social security organizations - Cost of selling services</v>
      </c>
      <c r="E272" s="121"/>
      <c r="F272" s="121"/>
      <c r="G272" s="122"/>
      <c r="H272" s="84"/>
    </row>
    <row r="273" spans="1:8" ht="12.75" customHeight="1" thickBot="1">
      <c r="A273" s="78"/>
      <c r="B273" s="124"/>
      <c r="C273" s="125" t="str">
        <f>+'Cost of Salesa Expenses'!A224</f>
        <v>6351.03 - ​ເງິນ​ບຳລຸງ​ໃຫ້​ອົງການ​ປະກັນ​ສັງຄົມ - ຄ່າໃຊ້ຈ່າຍບໍລິຫານ</v>
      </c>
      <c r="D273" s="126" t="str">
        <f>+'Cost of Salesa Expenses'!B224</f>
        <v>6351.03 - Maintenance money for social security organizations - Administrative expenses</v>
      </c>
      <c r="E273" s="127"/>
      <c r="F273" s="127"/>
      <c r="G273" s="128"/>
      <c r="H273" s="84"/>
    </row>
    <row r="274" spans="1:8" ht="12.75" customHeight="1" thickTop="1" thickBot="1">
      <c r="A274" s="78"/>
      <c r="B274" s="71"/>
      <c r="C274" s="71"/>
      <c r="D274" s="71"/>
      <c r="E274" s="68"/>
      <c r="F274" s="68"/>
      <c r="G274" s="68"/>
      <c r="H274" s="74"/>
    </row>
    <row r="275" spans="1:8" ht="12.75" customHeight="1" thickTop="1">
      <c r="A275" s="78"/>
      <c r="B275" s="129" t="s">
        <v>1167</v>
      </c>
      <c r="C275" s="81"/>
      <c r="D275" s="81"/>
      <c r="E275" s="130"/>
      <c r="F275" s="130"/>
      <c r="G275" s="130"/>
      <c r="H275" s="84"/>
    </row>
    <row r="276" spans="1:8" ht="12.75" customHeight="1">
      <c r="A276" s="78"/>
      <c r="B276" s="85"/>
      <c r="C276" s="62" t="str">
        <f>+'Cost of Salesa Expenses'!A3</f>
        <v>6311.01</v>
      </c>
      <c r="D276" s="62">
        <f>+'Cost of Salesa Expenses'!B3</f>
        <v>499259402</v>
      </c>
      <c r="E276" s="86">
        <v>-15000000</v>
      </c>
      <c r="F276" s="86"/>
      <c r="G276" s="87">
        <v>-15000000</v>
      </c>
      <c r="H276" s="84"/>
    </row>
    <row r="277" spans="1:8" ht="12.75" customHeight="1">
      <c r="A277" s="78"/>
      <c r="B277" s="85"/>
      <c r="C277" s="62" t="str">
        <f>+'Cost of Salesa Expenses'!A4</f>
        <v>6311.03</v>
      </c>
      <c r="D277" s="62">
        <f>+'Cost of Salesa Expenses'!B4</f>
        <v>321643163</v>
      </c>
      <c r="E277" s="86"/>
      <c r="F277" s="86"/>
      <c r="G277" s="87"/>
      <c r="H277" s="84"/>
    </row>
    <row r="278" spans="1:8" ht="12.75" customHeight="1">
      <c r="A278" s="78"/>
      <c r="B278" s="85"/>
      <c r="C278" s="62" t="str">
        <f>+'Cost of Salesa Expenses'!A5</f>
        <v>6311.03</v>
      </c>
      <c r="D278" s="62">
        <f>+'Cost of Salesa Expenses'!B5</f>
        <v>78502600</v>
      </c>
      <c r="E278" s="86"/>
      <c r="F278" s="86"/>
      <c r="G278" s="87"/>
      <c r="H278" s="84"/>
    </row>
    <row r="279" spans="1:8" ht="12.75" customHeight="1">
      <c r="A279" s="78"/>
      <c r="B279" s="85"/>
      <c r="C279" s="62" t="str">
        <f>+'Cost of Salesa Expenses'!A6</f>
        <v>6311.03</v>
      </c>
      <c r="D279" s="62">
        <f>+'Cost of Salesa Expenses'!B6</f>
        <v>233795400</v>
      </c>
      <c r="E279" s="86"/>
      <c r="F279" s="86"/>
      <c r="G279" s="87"/>
      <c r="H279" s="84"/>
    </row>
    <row r="280" spans="1:8" ht="12.75" customHeight="1">
      <c r="A280" s="78"/>
      <c r="B280" s="85"/>
      <c r="C280" s="62" t="str">
        <f>+'Cost of Salesa Expenses'!A7</f>
        <v>6311.03</v>
      </c>
      <c r="D280" s="62">
        <f>+'Cost of Salesa Expenses'!B7</f>
        <v>212515800</v>
      </c>
      <c r="E280" s="86"/>
      <c r="F280" s="86"/>
      <c r="G280" s="87"/>
      <c r="H280" s="84"/>
    </row>
    <row r="281" spans="1:8" ht="12.75" customHeight="1">
      <c r="A281" s="78"/>
      <c r="B281" s="85"/>
      <c r="C281" s="62" t="str">
        <f>+'Cost of Salesa Expenses'!A8</f>
        <v>6311.03</v>
      </c>
      <c r="D281" s="62">
        <f>+'Cost of Salesa Expenses'!B8</f>
        <v>338046600</v>
      </c>
      <c r="E281" s="86"/>
      <c r="F281" s="86"/>
      <c r="G281" s="87"/>
      <c r="H281" s="84"/>
    </row>
    <row r="282" spans="1:8" ht="12.75" customHeight="1">
      <c r="A282" s="78"/>
      <c r="B282" s="85"/>
      <c r="C282" s="62" t="str">
        <f>+'Cost of Salesa Expenses'!A9</f>
        <v>6311.03</v>
      </c>
      <c r="D282" s="62">
        <f>+'Cost of Salesa Expenses'!B9</f>
        <v>447312925</v>
      </c>
      <c r="E282" s="86"/>
      <c r="F282" s="86"/>
      <c r="G282" s="87"/>
      <c r="H282" s="84"/>
    </row>
    <row r="283" spans="1:8" ht="12.75" customHeight="1">
      <c r="A283" s="78"/>
      <c r="B283" s="85"/>
      <c r="C283" s="62" t="str">
        <f>+'Cost of Salesa Expenses'!A10</f>
        <v>6311.03</v>
      </c>
      <c r="D283" s="62">
        <f>+'Cost of Salesa Expenses'!B10</f>
        <v>211913000</v>
      </c>
      <c r="E283" s="86"/>
      <c r="F283" s="86"/>
      <c r="G283" s="87"/>
      <c r="H283" s="84"/>
    </row>
    <row r="284" spans="1:8" ht="12.75" customHeight="1">
      <c r="A284" s="78"/>
      <c r="B284" s="85"/>
      <c r="C284" s="62" t="str">
        <f>+'Cost of Salesa Expenses'!A11</f>
        <v>6311.03</v>
      </c>
      <c r="D284" s="62">
        <f>+'Cost of Salesa Expenses'!B11</f>
        <v>263663000</v>
      </c>
      <c r="E284" s="86"/>
      <c r="F284" s="86"/>
      <c r="G284" s="87"/>
      <c r="H284" s="84"/>
    </row>
    <row r="285" spans="1:8" ht="12.75" customHeight="1">
      <c r="A285" s="78"/>
      <c r="B285" s="85"/>
      <c r="C285" s="62" t="str">
        <f>+'Cost of Salesa Expenses'!A12</f>
        <v>6311.03</v>
      </c>
      <c r="D285" s="62">
        <f>+'Cost of Salesa Expenses'!B12</f>
        <v>188857</v>
      </c>
      <c r="E285" s="86"/>
      <c r="F285" s="86"/>
      <c r="G285" s="87"/>
      <c r="H285" s="84"/>
    </row>
    <row r="286" spans="1:8" ht="12.75" customHeight="1">
      <c r="A286" s="78"/>
      <c r="B286" s="85"/>
      <c r="C286" s="62" t="str">
        <f>+'Cost of Salesa Expenses'!A13</f>
        <v>6311.03</v>
      </c>
      <c r="D286" s="62">
        <f>+'Cost of Salesa Expenses'!B13</f>
        <v>292674800</v>
      </c>
      <c r="E286" s="86"/>
      <c r="F286" s="86"/>
      <c r="G286" s="87"/>
      <c r="H286" s="84"/>
    </row>
    <row r="287" spans="1:8" ht="12.75" customHeight="1">
      <c r="A287" s="78"/>
      <c r="B287" s="85"/>
      <c r="C287" s="62" t="str">
        <f>+'Cost of Salesa Expenses'!A14</f>
        <v>6311.03</v>
      </c>
      <c r="D287" s="62">
        <f>+'Cost of Salesa Expenses'!B14</f>
        <v>340919225</v>
      </c>
      <c r="E287" s="86"/>
      <c r="F287" s="86"/>
      <c r="G287" s="87"/>
      <c r="H287" s="84"/>
    </row>
    <row r="288" spans="1:8" ht="12.75" customHeight="1">
      <c r="A288" s="78"/>
      <c r="B288" s="85"/>
      <c r="C288" s="62" t="str">
        <f>+'Cost of Salesa Expenses'!A31</f>
        <v>6311.03</v>
      </c>
      <c r="D288" s="62">
        <f>+'Cost of Salesa Expenses'!B31</f>
        <v>25880000</v>
      </c>
      <c r="E288" s="86"/>
      <c r="F288" s="86"/>
      <c r="G288" s="87"/>
      <c r="H288" s="84"/>
    </row>
    <row r="289" spans="1:8" ht="12.75" customHeight="1">
      <c r="A289" s="78"/>
      <c r="B289" s="85"/>
      <c r="C289" s="62" t="str">
        <f>+'Cost of Salesa Expenses'!A32</f>
        <v>6311.03</v>
      </c>
      <c r="D289" s="62">
        <f>+'Cost of Salesa Expenses'!B32</f>
        <v>1232344008</v>
      </c>
      <c r="E289" s="86"/>
      <c r="F289" s="86"/>
      <c r="G289" s="87"/>
      <c r="H289" s="84"/>
    </row>
    <row r="290" spans="1:8" ht="12.75" customHeight="1">
      <c r="A290" s="78"/>
      <c r="B290" s="85"/>
      <c r="C290" s="62" t="str">
        <f>+'Cost of Salesa Expenses'!A33</f>
        <v>6311.03</v>
      </c>
      <c r="D290" s="62">
        <f>+'Cost of Salesa Expenses'!B33</f>
        <v>114404138</v>
      </c>
      <c r="E290" s="86"/>
      <c r="F290" s="86"/>
      <c r="G290" s="87"/>
      <c r="H290" s="84"/>
    </row>
    <row r="291" spans="1:8" ht="12.75" customHeight="1">
      <c r="A291" s="78"/>
      <c r="B291" s="85"/>
      <c r="C291" s="62" t="str">
        <f>+'Cost of Salesa Expenses'!A34</f>
        <v>6311.03</v>
      </c>
      <c r="D291" s="62">
        <f>+'Cost of Salesa Expenses'!B34</f>
        <v>104870441</v>
      </c>
      <c r="E291" s="86"/>
      <c r="F291" s="86"/>
      <c r="G291" s="87"/>
      <c r="H291" s="84"/>
    </row>
    <row r="292" spans="1:8" ht="12.75" customHeight="1">
      <c r="A292" s="78"/>
      <c r="B292" s="85"/>
      <c r="C292" s="62" t="str">
        <f>+'Cost of Salesa Expenses'!A35</f>
        <v>6311.03</v>
      </c>
      <c r="D292" s="62">
        <f>+'Cost of Salesa Expenses'!B35</f>
        <v>391594600</v>
      </c>
      <c r="E292" s="86"/>
      <c r="F292" s="86"/>
      <c r="G292" s="87"/>
      <c r="H292" s="84"/>
    </row>
    <row r="293" spans="1:8" ht="12.75" customHeight="1">
      <c r="A293" s="78"/>
      <c r="B293" s="85"/>
      <c r="C293" s="62" t="str">
        <f>+'Cost of Salesa Expenses'!A36</f>
        <v>6311.03</v>
      </c>
      <c r="D293" s="62">
        <f>+'Cost of Salesa Expenses'!B36</f>
        <v>288579000</v>
      </c>
      <c r="E293" s="86"/>
      <c r="F293" s="86"/>
      <c r="G293" s="87"/>
      <c r="H293" s="84"/>
    </row>
    <row r="294" spans="1:8" ht="12.75" customHeight="1">
      <c r="A294" s="78"/>
      <c r="B294" s="85"/>
      <c r="C294" s="62" t="str">
        <f>+'Cost of Salesa Expenses'!A37</f>
        <v>6311.03</v>
      </c>
      <c r="D294" s="62">
        <f>+'Cost of Salesa Expenses'!B37</f>
        <v>293146000</v>
      </c>
      <c r="E294" s="86"/>
      <c r="F294" s="86"/>
      <c r="G294" s="87"/>
      <c r="H294" s="84"/>
    </row>
    <row r="295" spans="1:8" ht="12.75" customHeight="1">
      <c r="A295" s="78"/>
      <c r="B295" s="85"/>
      <c r="C295" s="62" t="str">
        <f>+'Cost of Salesa Expenses'!A38</f>
        <v>6311.03</v>
      </c>
      <c r="D295" s="62">
        <f>+'Cost of Salesa Expenses'!B38</f>
        <v>28257984</v>
      </c>
      <c r="E295" s="86"/>
      <c r="F295" s="86"/>
      <c r="G295" s="87"/>
      <c r="H295" s="84"/>
    </row>
    <row r="296" spans="1:8" ht="12.75" customHeight="1">
      <c r="A296" s="78"/>
      <c r="B296" s="85"/>
      <c r="C296" s="62" t="str">
        <f>+'Cost of Salesa Expenses'!A39</f>
        <v>6311.03</v>
      </c>
      <c r="D296" s="62">
        <f>+'Cost of Salesa Expenses'!B39</f>
        <v>25920000</v>
      </c>
      <c r="E296" s="86"/>
      <c r="F296" s="86"/>
      <c r="G296" s="87"/>
      <c r="H296" s="84"/>
    </row>
    <row r="297" spans="1:8" ht="12.75" customHeight="1">
      <c r="A297" s="78"/>
      <c r="B297" s="85"/>
      <c r="C297" s="62" t="str">
        <f>+'Cost of Salesa Expenses'!A40</f>
        <v>6311.03</v>
      </c>
      <c r="D297" s="62">
        <f>+'Cost of Salesa Expenses'!B40</f>
        <v>129178800</v>
      </c>
      <c r="E297" s="86"/>
      <c r="F297" s="86"/>
      <c r="G297" s="87"/>
      <c r="H297" s="84"/>
    </row>
    <row r="298" spans="1:8" ht="12.75" customHeight="1">
      <c r="A298" s="78"/>
      <c r="B298" s="85"/>
      <c r="C298" s="62" t="str">
        <f>+'Cost of Salesa Expenses'!A41</f>
        <v>6311.03</v>
      </c>
      <c r="D298" s="62">
        <f>+'Cost of Salesa Expenses'!B41</f>
        <v>296492000</v>
      </c>
      <c r="E298" s="86"/>
      <c r="F298" s="86"/>
      <c r="G298" s="87"/>
      <c r="H298" s="84"/>
    </row>
    <row r="299" spans="1:8" ht="12.75" customHeight="1">
      <c r="A299" s="78"/>
      <c r="B299" s="85"/>
      <c r="C299" s="62" t="str">
        <f>+'Cost of Salesa Expenses'!A42</f>
        <v>6311.03</v>
      </c>
      <c r="D299" s="62">
        <f>+'Cost of Salesa Expenses'!B42</f>
        <v>280803360</v>
      </c>
      <c r="E299" s="86"/>
      <c r="F299" s="86"/>
      <c r="G299" s="87"/>
      <c r="H299" s="84"/>
    </row>
    <row r="300" spans="1:8" ht="12.75" customHeight="1">
      <c r="A300" s="78"/>
      <c r="B300" s="85"/>
      <c r="C300" s="62" t="str">
        <f>+'Cost of Salesa Expenses'!A43</f>
        <v>6091.01 - ສ່ວນ​ຫຼຸດຕ່າງໆ​ ທີ່​ໄດ້​ຮັບ​ຈາກ​ການ​ຊື້ -ຕົ້ນທຶນການບໍລິການ</v>
      </c>
      <c r="D300" s="62" t="str">
        <f>+'Cost of Salesa Expenses'!B43</f>
        <v>6091.01 - Discounts received from purchases - cost of services</v>
      </c>
      <c r="E300" s="86"/>
      <c r="F300" s="86"/>
      <c r="G300" s="87"/>
      <c r="H300" s="84"/>
    </row>
    <row r="301" spans="1:8" ht="12.75" customHeight="1">
      <c r="A301" s="78"/>
      <c r="B301" s="85"/>
      <c r="C301" s="62" t="str">
        <f>+'Cost of Salesa Expenses'!A44</f>
        <v>6091.02 - ສ່ວນ​ຫຼຸດຕ່າງໆ​ ທີ່​ໄດ້​ຮັບ​ຈາກ​ການ​ຊື້  - ຄ່າໃຊ້ຈ່າຍການຂາຍການບໍລິການ</v>
      </c>
      <c r="D301" s="62" t="str">
        <f>+'Cost of Salesa Expenses'!B44</f>
        <v>6091.02 - Discounts received from purchases - Cost of selling services</v>
      </c>
      <c r="E301" s="86"/>
      <c r="F301" s="86"/>
      <c r="G301" s="87"/>
      <c r="H301" s="84"/>
    </row>
    <row r="302" spans="1:8" ht="12.75" customHeight="1">
      <c r="A302" s="78"/>
      <c r="B302" s="85"/>
      <c r="C302" s="62" t="str">
        <f>+'Cost of Salesa Expenses'!A45</f>
        <v>6091.03 - ສ່ວນ​ຫຼຸດຕ່າງໆ​ ທີ່​ໄດ້​ຮັບ​ຈາກ​ການ​ຊື້​ - ຄ່າໃຊ້ຈ່າຍບໍລິຫານ</v>
      </c>
      <c r="D302" s="62" t="str">
        <f>+'Cost of Salesa Expenses'!B45</f>
        <v>6091.03 - Discounts received from purchases - Administrative expenses</v>
      </c>
      <c r="E302" s="86"/>
      <c r="F302" s="86"/>
      <c r="G302" s="87"/>
      <c r="H302" s="84"/>
    </row>
    <row r="303" spans="1:8" ht="12.75" customHeight="1">
      <c r="A303" s="78"/>
      <c r="B303" s="85"/>
      <c r="C303" s="62" t="str">
        <f>+'Cost of Salesa Expenses'!A46</f>
        <v>61 - ຄ່າບໍລິການ​ຈາ​ກທາງ​ນອກ</v>
      </c>
      <c r="D303" s="62" t="str">
        <f>+'Cost of Salesa Expenses'!B46</f>
        <v>61 - Service charges from outside</v>
      </c>
      <c r="E303" s="86"/>
      <c r="F303" s="86"/>
      <c r="G303" s="87"/>
      <c r="H303" s="84"/>
    </row>
    <row r="304" spans="1:8" ht="12.75" customHeight="1">
      <c r="A304" s="78"/>
      <c r="B304" s="85"/>
      <c r="C304" s="62" t="str">
        <f>+'Cost of Salesa Expenses'!A47</f>
        <v>611 - ຈ້າງ​ທາງ​ນອກ​</v>
      </c>
      <c r="D304" s="62" t="str">
        <f>+'Cost of Salesa Expenses'!B47</f>
        <v>611 - Hiring outside</v>
      </c>
      <c r="E304" s="86"/>
      <c r="F304" s="86"/>
      <c r="G304" s="87"/>
      <c r="H304" s="84"/>
    </row>
    <row r="305" spans="1:8" ht="12.75" customHeight="1">
      <c r="A305" s="78"/>
      <c r="B305" s="85"/>
      <c r="C305" s="62" t="str">
        <f>+'Cost of Salesa Expenses'!A48</f>
        <v>6111 - ຈ້າງ​ທາງ​ນອກ​ ຄ່າຮັກສາຄວາມປອດໄຟ</v>
      </c>
      <c r="D305" s="62" t="str">
        <f>+'Cost of Salesa Expenses'!B48</f>
        <v>6111 - Hiring outside for fire safety</v>
      </c>
      <c r="E305" s="86"/>
      <c r="F305" s="86"/>
      <c r="G305" s="87"/>
      <c r="H305" s="84"/>
    </row>
    <row r="306" spans="1:8" ht="12.75" customHeight="1">
      <c r="A306" s="78"/>
      <c r="B306" s="85"/>
      <c r="C306" s="62" t="str">
        <f>+'Cost of Salesa Expenses'!A49</f>
        <v>6111.01 - ຈ້າງ​ທາງ​ນອກ​ ຄ່າຮັກສາຄວາມປອດໄຟ -ຕົ້ນທຶນການບໍລິການ</v>
      </c>
      <c r="D306" s="62" t="str">
        <f>+'Cost of Salesa Expenses'!B49</f>
        <v>6111.01 - Outside hire, fire safety maintenance - service cost</v>
      </c>
      <c r="E306" s="86"/>
      <c r="F306" s="86"/>
      <c r="G306" s="87"/>
      <c r="H306" s="84"/>
    </row>
    <row r="307" spans="1:8" ht="12.75" customHeight="1">
      <c r="A307" s="78"/>
      <c r="B307" s="85"/>
      <c r="C307" s="62" t="str">
        <f>+'Cost of Salesa Expenses'!A50</f>
        <v>6111.02 - ຈ້າງ​ທາງ​ນອກ​ ຄ່າຮັກສາຄວາມປອດໄຟ -ຄ່າໃຊ້ຈ່າຍການຂາຍການບໍລິການ</v>
      </c>
      <c r="D307" s="62" t="str">
        <f>+'Cost of Salesa Expenses'!B50</f>
        <v>6111.02 - Outside hire, fire safety maintenance - Service sales expenses</v>
      </c>
      <c r="E307" s="86"/>
      <c r="F307" s="86"/>
      <c r="G307" s="87"/>
      <c r="H307" s="84"/>
    </row>
    <row r="308" spans="1:8" ht="12.75" customHeight="1">
      <c r="A308" s="78"/>
      <c r="B308" s="85"/>
      <c r="C308" s="62" t="str">
        <f>+'Cost of Salesa Expenses'!A51</f>
        <v>6111.03 - ຈ້າງ​ທາງ​ນອກ​ ຄ່າຮັກສາຄວາມປອດໄຟ​ - ຄ່າໃຊ້ຈ່າຍບໍລິຫານ</v>
      </c>
      <c r="D308" s="62" t="str">
        <f>+'Cost of Salesa Expenses'!B51</f>
        <v>6111.03 - External hire, fire safety maintenance - Administrative expenses</v>
      </c>
      <c r="E308" s="86"/>
      <c r="F308" s="86"/>
      <c r="G308" s="87"/>
      <c r="H308" s="84"/>
    </row>
    <row r="309" spans="1:8" ht="12.75" customHeight="1">
      <c r="A309" s="78"/>
      <c r="B309" s="85"/>
      <c r="C309" s="62" t="str">
        <f>+'Cost of Salesa Expenses'!A81</f>
        <v>6124 - ຄ່າເຊົ່າສາຍ Internet</v>
      </c>
      <c r="D309" s="62" t="str">
        <f>+'Cost of Salesa Expenses'!B81</f>
        <v>6124 - Internet cable rental fee</v>
      </c>
      <c r="E309" s="86"/>
      <c r="F309" s="86"/>
      <c r="G309" s="87"/>
      <c r="H309" s="84"/>
    </row>
    <row r="310" spans="1:8" ht="12.75" customHeight="1">
      <c r="A310" s="78"/>
      <c r="B310" s="85"/>
      <c r="C310" s="62" t="str">
        <f>+'Cost of Salesa Expenses'!A82</f>
        <v>6124.01 - ຄ່າເຊົ່າສາຍ Internet - ຕົ້ນທຶນການບໍລິການ</v>
      </c>
      <c r="D310" s="62" t="str">
        <f>+'Cost of Salesa Expenses'!B82</f>
        <v>6124.01 - Internet cable rental - Service cost</v>
      </c>
      <c r="E310" s="86"/>
      <c r="F310" s="86"/>
      <c r="G310" s="87"/>
      <c r="H310" s="84"/>
    </row>
    <row r="311" spans="1:8" ht="12.75" customHeight="1">
      <c r="A311" s="78"/>
      <c r="B311" s="85"/>
      <c r="C311" s="62" t="str">
        <f>+'Cost of Salesa Expenses'!A83</f>
        <v>6124.02 - ຄ່າເຊົ່າສາຍ Internet - ຄ່າໃຊ້ຈ່າຍການຂາຍການບໍລິການ</v>
      </c>
      <c r="D311" s="62" t="str">
        <f>+'Cost of Salesa Expenses'!B83</f>
        <v>6124.02 - Internet cable rental - Cost of selling services</v>
      </c>
      <c r="E311" s="86"/>
      <c r="F311" s="86"/>
      <c r="G311" s="87"/>
      <c r="H311" s="84"/>
    </row>
    <row r="312" spans="1:8" ht="12.75" customHeight="1">
      <c r="A312" s="78"/>
      <c r="B312" s="85"/>
      <c r="C312" s="62" t="str">
        <f>+'Cost of Salesa Expenses'!A84</f>
        <v>6124.03 - ຄ່າເຊົ່າສາຍ Internet - ຄ່າໃຊ້ຈ່າຍບໍລິຫານ</v>
      </c>
      <c r="D312" s="62" t="str">
        <f>+'Cost of Salesa Expenses'!B84</f>
        <v>6124.03 - Internet cable rental fee - Administrative expenses</v>
      </c>
      <c r="E312" s="86"/>
      <c r="F312" s="86"/>
      <c r="G312" s="87"/>
      <c r="H312" s="84"/>
    </row>
    <row r="313" spans="1:8" ht="12.75" customHeight="1">
      <c r="A313" s="78"/>
      <c r="B313" s="85"/>
      <c r="C313" s="62" t="str">
        <f>+'Cost of Salesa Expenses'!A87</f>
        <v>613 - ຄ່າ​ທຳ​ນຽມ</v>
      </c>
      <c r="D313" s="62" t="str">
        <f>+'Cost of Salesa Expenses'!B87</f>
        <v>613 - Fees</v>
      </c>
      <c r="E313" s="86"/>
      <c r="F313" s="86"/>
      <c r="G313" s="87"/>
      <c r="H313" s="84"/>
    </row>
    <row r="314" spans="1:8" ht="12.75" customHeight="1">
      <c r="A314" s="78"/>
      <c r="B314" s="85"/>
      <c r="C314" s="62" t="str">
        <f>+'Cost of Salesa Expenses'!A88</f>
        <v>6131 - ຄ່າ​ທຳ​ນຽມ (ຈາກຜູ້ສະໜອງ)</v>
      </c>
      <c r="D314" s="62" t="str">
        <f>+'Cost of Salesa Expenses'!B88</f>
        <v>6131 - Fees (from suppliers)</v>
      </c>
      <c r="E314" s="86"/>
      <c r="F314" s="86"/>
      <c r="G314" s="87"/>
      <c r="H314" s="84"/>
    </row>
    <row r="315" spans="1:8" ht="12.75" customHeight="1">
      <c r="A315" s="78"/>
      <c r="B315" s="85"/>
      <c r="C315" s="62" t="str">
        <f>+'Cost of Salesa Expenses'!A89</f>
        <v>6131.01 - ຄ່າ​ທຳ​ນຽມ -ຕົ້ນທຶນການບໍລິການ</v>
      </c>
      <c r="D315" s="62" t="str">
        <f>+'Cost of Salesa Expenses'!B89</f>
        <v>6131.01 - Fees - Cost of services</v>
      </c>
      <c r="E315" s="86"/>
      <c r="F315" s="86"/>
      <c r="G315" s="87"/>
      <c r="H315" s="84"/>
    </row>
    <row r="316" spans="1:8" ht="12.75" customHeight="1">
      <c r="A316" s="78"/>
      <c r="B316" s="85"/>
      <c r="C316" s="62" t="str">
        <f>+'Cost of Salesa Expenses'!A90</f>
        <v>6131.02 - ຄ່າ​ທຳ​ນຽມ - ຄ່າໃຊ້ຈ່າຍການຂາຍການບໍລິການ</v>
      </c>
      <c r="D316" s="62" t="str">
        <f>+'Cost of Salesa Expenses'!B90</f>
        <v>6131.02 - Fees - Cost of selling services</v>
      </c>
      <c r="E316" s="86"/>
      <c r="F316" s="86"/>
      <c r="G316" s="87"/>
      <c r="H316" s="84"/>
    </row>
    <row r="317" spans="1:8" ht="12.75" customHeight="1">
      <c r="A317" s="78"/>
      <c r="B317" s="85"/>
      <c r="C317" s="62" t="str">
        <f>+'Cost of Salesa Expenses'!A91</f>
        <v>6131.03 - ຄ່າ​ທຳ​ນຽມ- ຄ່າໃຊ້ຈ່າຍບໍລິຫານ</v>
      </c>
      <c r="D317" s="62" t="str">
        <f>+'Cost of Salesa Expenses'!B91</f>
        <v>6131.03 - Fees - Administrative expenses</v>
      </c>
      <c r="E317" s="86"/>
      <c r="F317" s="86"/>
      <c r="G317" s="87"/>
      <c r="H317" s="84"/>
    </row>
    <row r="318" spans="1:8" ht="12.75" customHeight="1">
      <c r="A318" s="78"/>
      <c r="B318" s="85"/>
      <c r="C318" s="62" t="str">
        <f>+'Cost of Salesa Expenses'!A125</f>
        <v>617 - ຄ່າ​ວິ​ໄຈ ແລະ ຄົ້ນ​ຄວ້າ</v>
      </c>
      <c r="D318" s="62" t="str">
        <f>+'Cost of Salesa Expenses'!B125</f>
        <v>617 - Research and research fees</v>
      </c>
      <c r="E318" s="86"/>
      <c r="F318" s="86"/>
      <c r="G318" s="87"/>
      <c r="H318" s="84"/>
    </row>
    <row r="319" spans="1:8" ht="12.75" customHeight="1">
      <c r="A319" s="78"/>
      <c r="B319" s="85"/>
      <c r="C319" s="62" t="str">
        <f>+'Cost of Salesa Expenses'!A126</f>
        <v>6171 - ຄ່າ​ວິ​ໄຈ ແລະ ຄົ້ນ​ຄວ້າ</v>
      </c>
      <c r="D319" s="62" t="str">
        <f>+'Cost of Salesa Expenses'!B126</f>
        <v>6171 - Research and research fees</v>
      </c>
      <c r="E319" s="86"/>
      <c r="F319" s="86"/>
      <c r="G319" s="87"/>
      <c r="H319" s="84"/>
    </row>
    <row r="320" spans="1:8" ht="12.75" customHeight="1">
      <c r="A320" s="78"/>
      <c r="B320" s="85"/>
      <c r="C320" s="62" t="str">
        <f>+'Cost of Salesa Expenses'!A127</f>
        <v>618 - ​ຄ່າ​ປະ​ກອບ​ເອ​ກະ​ສານ ແລະ ອື່ນໆ​ທີ່​ຕິດ​ພັນ</v>
      </c>
      <c r="D320" s="62" t="str">
        <f>+'Cost of Salesa Expenses'!B127</f>
        <v>618 - Fees for documents and other related documents</v>
      </c>
      <c r="E320" s="86"/>
      <c r="F320" s="86"/>
      <c r="G320" s="87"/>
      <c r="H320" s="84"/>
    </row>
    <row r="321" spans="1:8" ht="12.75" customHeight="1">
      <c r="A321" s="78"/>
      <c r="B321" s="85"/>
      <c r="C321" s="62" t="str">
        <f>+'Cost of Salesa Expenses'!A128</f>
        <v>6181 - ​ຄ່າ​ປະ​ກອບ​ເອ​ກະ​ສານ ແລະ ອື່ນໆ​ທີ່​ຕິດ​ພັນ</v>
      </c>
      <c r="D321" s="62" t="str">
        <f>+'Cost of Salesa Expenses'!B128</f>
        <v>6181 - Fees for documents and other related documents</v>
      </c>
      <c r="E321" s="86"/>
      <c r="F321" s="86"/>
      <c r="G321" s="87"/>
      <c r="H321" s="84"/>
    </row>
    <row r="322" spans="1:8" ht="12.75" customHeight="1">
      <c r="A322" s="78"/>
      <c r="B322" s="85"/>
      <c r="C322" s="62" t="str">
        <f>+'Cost of Salesa Expenses'!A129</f>
        <v>6181.01 - ​ຄ່າ​ປະ​ກອບ​ເອ​ກະ​ສານ ແລະ ອື່ນໆ​ທີ່​ຕິດ​ພັນ -ຕົ້ນທຶນການບໍລິການ</v>
      </c>
      <c r="D322" s="62" t="str">
        <f>+'Cost of Salesa Expenses'!B129</f>
        <v>6181.01 - Document fees and other related fees - Service cost</v>
      </c>
      <c r="E322" s="86"/>
      <c r="F322" s="86"/>
      <c r="G322" s="87"/>
      <c r="H322" s="84"/>
    </row>
    <row r="323" spans="1:8" ht="12.75" customHeight="1">
      <c r="A323" s="78"/>
      <c r="B323" s="85"/>
      <c r="C323" s="62" t="str">
        <f>+'Cost of Salesa Expenses'!A130</f>
        <v>6181.02 - ​ຄ່າ​ປະ​ກອບ​ເອ​ກະ​ສານ ແລະ ອື່ນໆ​ທີ່​ຕິດ​ພັນ- ຄ່າໃຊ້ຈ່າຍການຂາຍການບໍລິການ</v>
      </c>
      <c r="D323" s="62" t="str">
        <f>+'Cost of Salesa Expenses'!B130</f>
        <v>6181.02 - Fees for documents and other related expenses - Cost of selling services</v>
      </c>
      <c r="E323" s="86"/>
      <c r="F323" s="86"/>
      <c r="G323" s="87"/>
      <c r="H323" s="84"/>
    </row>
    <row r="324" spans="1:8" ht="12.75" customHeight="1">
      <c r="A324" s="78"/>
      <c r="B324" s="85"/>
      <c r="C324" s="62" t="str">
        <f>+'Cost of Salesa Expenses'!A131</f>
        <v>6181.03 - ​ຄ່າ​ປະ​ກອບ​ເອ​ກະ​ສານ ແລະ ອື່ນໆ​ທີ່​ຕິດ​ພັນ - ຄ່າໃຊ້ຈ່າຍບໍລິຫານ</v>
      </c>
      <c r="D324" s="62" t="str">
        <f>+'Cost of Salesa Expenses'!B131</f>
        <v>6181.03 - Document fees and related expenses - Administrative expenses</v>
      </c>
      <c r="E324" s="86"/>
      <c r="F324" s="86"/>
      <c r="G324" s="87"/>
      <c r="H324" s="84"/>
    </row>
    <row r="325" spans="1:8" ht="12.75" customHeight="1">
      <c r="A325" s="78"/>
      <c r="B325" s="85"/>
      <c r="C325" s="62" t="str">
        <f>+'Cost of Salesa Expenses'!A132</f>
        <v>619 - ສ່ວນ​ຫຼຸດຕ່າງໆ​ ທີ່​ໄດ້​ຮັບ​ຈາກ​ທາງ​ນອກ</v>
      </c>
      <c r="D325" s="62" t="str">
        <f>+'Cost of Salesa Expenses'!B132</f>
        <v>619 - Various discounts received from outside</v>
      </c>
      <c r="E325" s="86"/>
      <c r="F325" s="86"/>
      <c r="G325" s="87"/>
      <c r="H325" s="84"/>
    </row>
    <row r="326" spans="1:8" ht="12.75" customHeight="1">
      <c r="A326" s="78"/>
      <c r="B326" s="85"/>
      <c r="C326" s="62" t="str">
        <f>+'Cost of Salesa Expenses'!A133</f>
        <v>6191 - ສ່ວນ​ຫຼຸດຕ່າງໆ​ ທີ່​ໄດ້​ຮັບ​ຈາກ​ທາງ​ນອກ</v>
      </c>
      <c r="D326" s="62" t="str">
        <f>+'Cost of Salesa Expenses'!B133</f>
        <v>6191 - Various discounts received from outside</v>
      </c>
      <c r="E326" s="86"/>
      <c r="F326" s="86"/>
      <c r="G326" s="87"/>
      <c r="H326" s="84"/>
    </row>
    <row r="327" spans="1:8" ht="12.75" customHeight="1">
      <c r="A327" s="78"/>
      <c r="B327" s="85"/>
      <c r="C327" s="62" t="str">
        <f>+'Cost of Salesa Expenses'!A134</f>
        <v>6191.01 - ສ່ວນ​ຫຼຸດຕ່າງໆ​ ທີ່​ໄດ້​ຮັບ​ຈາກ​ທາງ​ນອກ -ຕົ້ນທຶນການບໍລິການ</v>
      </c>
      <c r="D327" s="62" t="str">
        <f>+'Cost of Salesa Expenses'!B134</f>
        <v>6191.01 - Various discounts received from outside - Service cost</v>
      </c>
      <c r="E327" s="86"/>
      <c r="F327" s="86"/>
      <c r="G327" s="87"/>
      <c r="H327" s="84"/>
    </row>
    <row r="328" spans="1:8" ht="12.75" customHeight="1">
      <c r="A328" s="78"/>
      <c r="B328" s="85"/>
      <c r="C328" s="62" t="str">
        <f>+'Cost of Salesa Expenses'!A135</f>
        <v>6191.02 - ສ່ວນ​ຫຼຸດຕ່າງໆ​ ທີ່​ໄດ້​ຮັບ​ຈາກ​ທາງ​ນອກ- ຄ່າໃຊ້ຈ່າຍການຂາຍການບໍລິການ</v>
      </c>
      <c r="D328" s="62" t="str">
        <f>+'Cost of Salesa Expenses'!B135</f>
        <v>6191.02 - Discounts received from outside - Cost of selling services</v>
      </c>
      <c r="E328" s="86"/>
      <c r="F328" s="86"/>
      <c r="G328" s="87"/>
      <c r="H328" s="84"/>
    </row>
    <row r="329" spans="1:8" ht="12.75" customHeight="1">
      <c r="A329" s="78"/>
      <c r="B329" s="85"/>
      <c r="C329" s="62" t="str">
        <f>+'Cost of Salesa Expenses'!A136</f>
        <v>6191.03 - ສ່ວນ​ຫຼຸດຕ່າງໆ​ ທີ່​ໄດ້​ຮັບ​ຈາກ​ທາງ​ນອກ - ຄ່າໃຊ້ຈ່າຍບໍລິຫານ</v>
      </c>
      <c r="D329" s="62" t="str">
        <f>+'Cost of Salesa Expenses'!B136</f>
        <v>6191.03 - Discounts received from outside - Administrative expenses</v>
      </c>
      <c r="E329" s="86"/>
      <c r="F329" s="86"/>
      <c r="G329" s="87"/>
      <c r="H329" s="84"/>
    </row>
    <row r="330" spans="1:8" ht="12.75" customHeight="1">
      <c r="A330" s="78"/>
      <c r="B330" s="85"/>
      <c r="C330" s="62" t="str">
        <f>+'Cost of Salesa Expenses'!A137</f>
        <v>62 - ຄ່າບໍລິການ​​ອື່ນໆຈາກ​ທາງ​ນອກ</v>
      </c>
      <c r="D330" s="62" t="str">
        <f>+'Cost of Salesa Expenses'!B137</f>
        <v>62 - Other service charges from outside</v>
      </c>
      <c r="E330" s="86"/>
      <c r="F330" s="86"/>
      <c r="G330" s="87"/>
      <c r="H330" s="84"/>
    </row>
    <row r="331" spans="1:8" ht="12.75" customHeight="1">
      <c r="A331" s="78"/>
      <c r="B331" s="85"/>
      <c r="C331" s="62" t="str">
        <f>+'Cost of Salesa Expenses'!A138</f>
        <v>621 - ​ຄ່າຂົນ​ສົ່ງ​</v>
      </c>
      <c r="D331" s="62" t="str">
        <f>+'Cost of Salesa Expenses'!B138</f>
        <v>621 - Shipping costs</v>
      </c>
      <c r="E331" s="86"/>
      <c r="F331" s="86"/>
      <c r="G331" s="87"/>
      <c r="H331" s="84"/>
    </row>
    <row r="332" spans="1:8" ht="12.75" customHeight="1">
      <c r="A332" s="78"/>
      <c r="B332" s="85"/>
      <c r="C332" s="62" t="str">
        <f>+'Cost of Salesa Expenses'!A139</f>
        <v>6211 - ​ຄ່າຂົນ​ສົ່ງ​</v>
      </c>
      <c r="D332" s="62" t="str">
        <f>+'Cost of Salesa Expenses'!B139</f>
        <v>6211 - Shipping costs</v>
      </c>
      <c r="E332" s="86"/>
      <c r="F332" s="86"/>
      <c r="G332" s="87"/>
      <c r="H332" s="84"/>
    </row>
    <row r="333" spans="1:8" ht="12.75" customHeight="1">
      <c r="A333" s="78"/>
      <c r="B333" s="85"/>
      <c r="C333" s="62" t="str">
        <f>+'Cost of Salesa Expenses'!A140</f>
        <v>6211.01 - ​ຄ່າຂົນ​ສົ່ງ​ -ຕົ້ນທຶນການບໍລິການ</v>
      </c>
      <c r="D333" s="62" t="str">
        <f>+'Cost of Salesa Expenses'!B140</f>
        <v>6211.01 - Shipping cost - Service cost</v>
      </c>
      <c r="E333" s="86"/>
      <c r="F333" s="86"/>
      <c r="G333" s="87"/>
      <c r="H333" s="84"/>
    </row>
    <row r="334" spans="1:8" ht="12.75" customHeight="1">
      <c r="A334" s="78"/>
      <c r="B334" s="85"/>
      <c r="C334" s="62" t="str">
        <f>+'Cost of Salesa Expenses'!A141</f>
        <v>6211.02 - ​ຄ່າຂົນ​ສົ່ງ​ - ຄ່າໃຊ້ຈ່າຍການຂາຍການບໍລິການ</v>
      </c>
      <c r="D334" s="62" t="str">
        <f>+'Cost of Salesa Expenses'!B141</f>
        <v>6211.02 - Shipping costs - Cost of selling services</v>
      </c>
      <c r="E334" s="86"/>
      <c r="F334" s="86"/>
      <c r="G334" s="87"/>
      <c r="H334" s="84"/>
    </row>
    <row r="335" spans="1:8" ht="12.75" customHeight="1">
      <c r="A335" s="78"/>
      <c r="B335" s="85"/>
      <c r="C335" s="62" t="str">
        <f>+'Cost of Salesa Expenses'!A142</f>
        <v>6211.03 - ​ຄ່າຂົນ​ສົ່ງ​- ຄ່າໃຊ້ຈ່າຍບໍລິຫານ</v>
      </c>
      <c r="D335" s="62" t="str">
        <f>+'Cost of Salesa Expenses'!B142</f>
        <v>6211.03 - Shipping costs - administrative costs</v>
      </c>
      <c r="E335" s="86"/>
      <c r="F335" s="86"/>
      <c r="G335" s="87"/>
      <c r="H335" s="84"/>
    </row>
    <row r="336" spans="1:8" ht="12.75" customHeight="1">
      <c r="A336" s="78"/>
      <c r="B336" s="85"/>
      <c r="C336" s="62" t="str">
        <f>+'Cost of Salesa Expenses'!A148</f>
        <v>6222 - ຄ່າກິດຈະກຳສົ່ງເສີມການຂາຍບໍລິການ</v>
      </c>
      <c r="D336" s="62" t="str">
        <f>+'Cost of Salesa Expenses'!B148</f>
        <v>6222 - Fees for service promotion activities</v>
      </c>
      <c r="E336" s="86"/>
      <c r="F336" s="86"/>
      <c r="G336" s="87"/>
      <c r="H336" s="84"/>
    </row>
    <row r="337" spans="1:8" ht="12.75" customHeight="1">
      <c r="A337" s="78"/>
      <c r="B337" s="85"/>
      <c r="C337" s="62" t="str">
        <f>+'Cost of Salesa Expenses'!A149</f>
        <v>6222.01 - ຄ່າກິດຈະກຳສົ່ງເສີມການຂາຍບໍລິການ -ຕົ້ນທຶນການບໍລິການ</v>
      </c>
      <c r="D337" s="62" t="str">
        <f>+'Cost of Salesa Expenses'!B149</f>
        <v>6222.01 - Cost of service promotion activities - cost of service</v>
      </c>
      <c r="E337" s="86"/>
      <c r="F337" s="86"/>
      <c r="G337" s="87"/>
      <c r="H337" s="84"/>
    </row>
    <row r="338" spans="1:8" ht="12.75" customHeight="1">
      <c r="A338" s="78"/>
      <c r="B338" s="85"/>
      <c r="C338" s="62" t="str">
        <f>+'Cost of Salesa Expenses'!A150</f>
        <v>6222.02 - ຄ່າກິດຈະກຳສົ່ງເສີມການຂາຍບໍລິການ - ຄ່າໃຊ້ຈ່າຍການຂາຍການບໍລິການ</v>
      </c>
      <c r="D338" s="62" t="str">
        <f>+'Cost of Salesa Expenses'!B150</f>
        <v>6222.02 - Fees for promotional activities for the sale of services - Fees for the sale of services</v>
      </c>
      <c r="E338" s="86"/>
      <c r="F338" s="86"/>
      <c r="G338" s="87"/>
      <c r="H338" s="84"/>
    </row>
    <row r="339" spans="1:8" ht="12.75" customHeight="1">
      <c r="A339" s="78"/>
      <c r="B339" s="85"/>
      <c r="C339" s="62" t="str">
        <f>+'Cost of Salesa Expenses'!A151</f>
        <v>6222.03 - ຄ່າກິດຈະກຳສົ່ງເສີມການຂາຍບໍລິການ - ຄ່າໃຊ້ຈ່າຍບໍລິຫານ</v>
      </c>
      <c r="D339" s="62" t="str">
        <f>+'Cost of Salesa Expenses'!B151</f>
        <v>6222.03 - Fees for service promotion activities - Administrative expenses</v>
      </c>
      <c r="E339" s="86"/>
      <c r="F339" s="86"/>
      <c r="G339" s="87"/>
      <c r="H339" s="84"/>
    </row>
    <row r="340" spans="1:8" ht="12.75" customHeight="1">
      <c r="A340" s="78"/>
      <c r="B340" s="85"/>
      <c r="C340" s="62" t="str">
        <f>+'Cost of Salesa Expenses'!A152</f>
        <v>623 - ຄ່າ​ໄປສະ​ນີ ແລະ ​ໂທລະ​ຄົມມະນາຄົມ</v>
      </c>
      <c r="D340" s="62" t="str">
        <f>+'Cost of Salesa Expenses'!B152</f>
        <v>623 - Postal and telecommunication fees</v>
      </c>
      <c r="E340" s="86"/>
      <c r="F340" s="86"/>
      <c r="G340" s="87"/>
      <c r="H340" s="84"/>
    </row>
    <row r="341" spans="1:8" ht="12.75" customHeight="1">
      <c r="A341" s="78"/>
      <c r="B341" s="85"/>
      <c r="C341" s="62" t="str">
        <f>+'Cost of Salesa Expenses'!A153</f>
        <v>6231 - ຄ່າ​ໄປສະ​ນີ ແລະ ​ໂທລະ​ຄົມມະນາຄົມ</v>
      </c>
      <c r="D341" s="62" t="str">
        <f>+'Cost of Salesa Expenses'!B153</f>
        <v>6231 - Postal and telecommunication fees</v>
      </c>
      <c r="E341" s="86"/>
      <c r="F341" s="86"/>
      <c r="G341" s="87"/>
      <c r="H341" s="84"/>
    </row>
    <row r="342" spans="1:8" ht="12.75" customHeight="1">
      <c r="A342" s="78"/>
      <c r="B342" s="85"/>
      <c r="C342" s="62" t="str">
        <f>+'Cost of Salesa Expenses'!A154</f>
        <v>6231.01 - ຄ່າ​ໄປສະ​ນີ (ຝາກເອກະສານ) -ຕົ້ນທຶນການບໍລິການ</v>
      </c>
      <c r="D342" s="62" t="str">
        <f>+'Cost of Salesa Expenses'!B154</f>
        <v>6231.01 - Postage (document deposit) - Service cost</v>
      </c>
      <c r="E342" s="86"/>
      <c r="F342" s="86"/>
      <c r="G342" s="87"/>
      <c r="H342" s="84"/>
    </row>
    <row r="343" spans="1:8" ht="12.75" customHeight="1">
      <c r="A343" s="78"/>
      <c r="B343" s="85"/>
      <c r="C343" s="62" t="str">
        <f>+'Cost of Salesa Expenses'!A155</f>
        <v>6231.02 - ຄ່າ​ໄປສະ​ນີ (ຝາກເອກະສານ)- ຄ່າໃຊ້ຈ່າຍການຂາຍການບໍລິການ</v>
      </c>
      <c r="D343" s="62" t="str">
        <f>+'Cost of Salesa Expenses'!B155</f>
        <v>6231.02 - Postage (depositing documents) - Cost of selling services</v>
      </c>
      <c r="E343" s="86"/>
      <c r="F343" s="86"/>
      <c r="G343" s="87"/>
      <c r="H343" s="84"/>
    </row>
    <row r="344" spans="1:8" ht="12.75" customHeight="1">
      <c r="A344" s="78"/>
      <c r="B344" s="85"/>
      <c r="C344" s="62" t="str">
        <f>+'Cost of Salesa Expenses'!A156</f>
        <v>6231.03 - ຄ່າ​ໄປສະ​ນີ (ຝາກເອກະສານ)- ຄ່າໃຊ້ຈ່າຍບໍລິຫານ</v>
      </c>
      <c r="D344" s="62" t="str">
        <f>+'Cost of Salesa Expenses'!B156</f>
        <v>6231.03 - Postage (depositing documents) - Administrative expenses</v>
      </c>
      <c r="E344" s="86"/>
      <c r="F344" s="86"/>
      <c r="G344" s="87"/>
      <c r="H344" s="84"/>
    </row>
    <row r="345" spans="1:8" ht="12.75" customHeight="1">
      <c r="A345" s="78"/>
      <c r="B345" s="85"/>
      <c r="C345" s="62" t="str">
        <f>+'Cost of Salesa Expenses'!A165</f>
        <v>624 - ຄ່າ​ນາຍ​ໜ້າ</v>
      </c>
      <c r="D345" s="62" t="str">
        <f>+'Cost of Salesa Expenses'!B165</f>
        <v>624 - Commission</v>
      </c>
      <c r="E345" s="86"/>
      <c r="F345" s="86"/>
      <c r="G345" s="87"/>
      <c r="H345" s="84"/>
    </row>
    <row r="346" spans="1:8" ht="12.75" customHeight="1">
      <c r="A346" s="78"/>
      <c r="B346" s="85"/>
      <c r="C346" s="62" t="str">
        <f>+'Cost of Salesa Expenses'!A166</f>
        <v>6241 - ຄ່າທີ່ປຶກສາ</v>
      </c>
      <c r="D346" s="62" t="str">
        <f>+'Cost of Salesa Expenses'!B166</f>
        <v>6241 - Consultant fees</v>
      </c>
      <c r="E346" s="86"/>
      <c r="F346" s="86"/>
      <c r="G346" s="87"/>
      <c r="H346" s="84"/>
    </row>
    <row r="347" spans="1:8" ht="12.75" customHeight="1">
      <c r="A347" s="78"/>
      <c r="B347" s="85"/>
      <c r="C347" s="62" t="str">
        <f>+'Cost of Salesa Expenses'!A167</f>
        <v>6241.01 - ຄ່າທີ່ປຶກສາ  - ຕົ້ນທຶນການບໍລິການ</v>
      </c>
      <c r="D347" s="62" t="str">
        <f>+'Cost of Salesa Expenses'!B167</f>
        <v>6241.01 - Consulting fee - Service cost</v>
      </c>
      <c r="E347" s="86"/>
      <c r="F347" s="86"/>
      <c r="G347" s="87"/>
      <c r="H347" s="84"/>
    </row>
    <row r="348" spans="1:8" ht="12.75" customHeight="1">
      <c r="A348" s="78"/>
      <c r="B348" s="85"/>
      <c r="C348" s="62" t="str">
        <f>+'Cost of Salesa Expenses'!A168</f>
        <v>6241.02 - ຄ່າທີ່ປຶກສາ - ຄ່າໃຊ້ຈ່າຍການຂາຍການບໍລິການ</v>
      </c>
      <c r="D348" s="62" t="str">
        <f>+'Cost of Salesa Expenses'!B168</f>
        <v>6241.02 - Consulting fees - Service sales expenses</v>
      </c>
      <c r="E348" s="86"/>
      <c r="F348" s="86"/>
      <c r="G348" s="87"/>
      <c r="H348" s="84"/>
    </row>
    <row r="349" spans="1:8" ht="12.75" customHeight="1">
      <c r="A349" s="78"/>
      <c r="B349" s="85"/>
      <c r="C349" s="62" t="str">
        <f>+'Cost of Salesa Expenses'!A169</f>
        <v>6241.03 - ຄ່າທີ່ປຶກສາ - ຄ່າໃຊ້ຈ່າຍບໍລິຫານ</v>
      </c>
      <c r="D349" s="62" t="str">
        <f>+'Cost of Salesa Expenses'!B169</f>
        <v>6241.03 - Consulting fees - Administrative expenses</v>
      </c>
      <c r="E349" s="86"/>
      <c r="F349" s="86"/>
      <c r="G349" s="87"/>
      <c r="H349" s="84"/>
    </row>
    <row r="350" spans="1:8" ht="12.75" customHeight="1">
      <c r="A350" s="78"/>
      <c r="B350" s="85"/>
      <c r="C350" s="62" t="str">
        <f>+'Cost of Salesa Expenses'!A175</f>
        <v>6252 - ກອງ​ປະຊຸມ,</v>
      </c>
      <c r="D350" s="62" t="str">
        <f>+'Cost of Salesa Expenses'!B175</f>
        <v>6252 - conference,</v>
      </c>
      <c r="E350" s="86"/>
      <c r="F350" s="86"/>
      <c r="G350" s="87"/>
      <c r="H350" s="84"/>
    </row>
    <row r="351" spans="1:8" ht="12.75" customHeight="1">
      <c r="A351" s="78"/>
      <c r="B351" s="85"/>
      <c r="C351" s="62" t="str">
        <f>+'Cost of Salesa Expenses'!A176</f>
        <v>6252.01 - ກອງ​ປະຊຸມ - ຕົ້ນທຶນການບໍລິການ</v>
      </c>
      <c r="D351" s="62" t="str">
        <f>+'Cost of Salesa Expenses'!B176</f>
        <v>6252.01 - Conference - Cost of services</v>
      </c>
      <c r="E351" s="86"/>
      <c r="F351" s="86"/>
      <c r="G351" s="87"/>
      <c r="H351" s="84"/>
    </row>
    <row r="352" spans="1:8" ht="12.75" customHeight="1">
      <c r="A352" s="78"/>
      <c r="B352" s="85"/>
      <c r="C352" s="62" t="str">
        <f>+'Cost of Salesa Expenses'!A177</f>
        <v>6252.02 - ກອງ​ປະຊຸມ - ຄ່າໃຊ້ຈ່າຍການຂາຍການບໍລິການ</v>
      </c>
      <c r="D352" s="62" t="str">
        <f>+'Cost of Salesa Expenses'!B177</f>
        <v>6252.02 - Conference - Cost of selling services</v>
      </c>
      <c r="E352" s="86"/>
      <c r="F352" s="86"/>
      <c r="G352" s="87"/>
      <c r="H352" s="84"/>
    </row>
    <row r="353" spans="1:8" ht="12.75" customHeight="1">
      <c r="A353" s="78"/>
      <c r="B353" s="85"/>
      <c r="C353" s="62" t="str">
        <f>+'Cost of Salesa Expenses'!A178</f>
        <v>6252.03 - ກອງ​ປະຊຸມ - ຄ່າໃຊ້ຈ່າຍບໍລິຫານ</v>
      </c>
      <c r="D353" s="62" t="str">
        <f>+'Cost of Salesa Expenses'!B178</f>
        <v>6252.03 - Conference - Administrative expenses</v>
      </c>
      <c r="E353" s="86"/>
      <c r="F353" s="86"/>
      <c r="G353" s="87"/>
      <c r="H353" s="84"/>
    </row>
    <row r="354" spans="1:8" ht="12.75" customHeight="1">
      <c r="A354" s="78"/>
      <c r="B354" s="85"/>
      <c r="C354" s="62" t="str">
        <f>+'Cost of Salesa Expenses'!A179</f>
        <v>6253 - ຮັບ​ແຂກ</v>
      </c>
      <c r="D354" s="62" t="str">
        <f>+'Cost of Salesa Expenses'!B179</f>
        <v>6253 - Receive guests</v>
      </c>
      <c r="E354" s="86"/>
      <c r="F354" s="86"/>
      <c r="G354" s="87"/>
      <c r="H354" s="84"/>
    </row>
    <row r="355" spans="1:8" ht="12.75" customHeight="1">
      <c r="A355" s="78"/>
      <c r="B355" s="85"/>
      <c r="C355" s="62" t="str">
        <f>+'Cost of Salesa Expenses'!A180</f>
        <v>6253.01 - ຄ່າຮັບ​ແຂກ - ຕົ້ນທຶນການບໍລິການ</v>
      </c>
      <c r="D355" s="62" t="str">
        <f>+'Cost of Salesa Expenses'!B180</f>
        <v>6253.01 - Guest reception fee - Service cost</v>
      </c>
      <c r="E355" s="86"/>
      <c r="F355" s="86"/>
      <c r="G355" s="87"/>
      <c r="H355" s="84"/>
    </row>
    <row r="356" spans="1:8" ht="12.75" customHeight="1">
      <c r="A356" s="78"/>
      <c r="B356" s="85"/>
      <c r="C356" s="62" t="str">
        <f>+'Cost of Salesa Expenses'!A181</f>
        <v>6253.02 - ຄ່າຮັບ​ແຂກ - ຄ່າໃຊ້ຈ່າຍການຂາຍການບໍລິການ</v>
      </c>
      <c r="D356" s="62" t="str">
        <f>+'Cost of Salesa Expenses'!B181</f>
        <v>6253.02 - Guest fees - Cost of selling services</v>
      </c>
      <c r="E356" s="86"/>
      <c r="F356" s="86"/>
      <c r="G356" s="87"/>
      <c r="H356" s="84"/>
    </row>
    <row r="357" spans="1:8" ht="12.75" customHeight="1">
      <c r="A357" s="78"/>
      <c r="B357" s="85"/>
      <c r="C357" s="62" t="str">
        <f>+'Cost of Salesa Expenses'!A182</f>
        <v>6253.03 - ຄ່າຮັບ​ແຂກ - ຄ່າໃຊ້ຈ່າຍບໍລິຫານ</v>
      </c>
      <c r="D357" s="62" t="str">
        <f>+'Cost of Salesa Expenses'!B182</f>
        <v>6253.03 - Guest fees - Administrative expenses</v>
      </c>
      <c r="E357" s="86"/>
      <c r="F357" s="86"/>
      <c r="G357" s="87"/>
      <c r="H357" s="84"/>
    </row>
    <row r="358" spans="1:8" ht="12.75" customHeight="1">
      <c r="A358" s="78"/>
      <c r="B358" s="85"/>
      <c r="C358" s="62" t="str">
        <f>+'Cost of Salesa Expenses'!A183</f>
        <v>626 - ວຽກງານ​ທາງ​ການ, ທັດສະນະ​ສຶກສາ, ​ຝຶກ​ອົບຮົມ ​ແລະ ອື່ນໆ</v>
      </c>
      <c r="D358" s="62" t="str">
        <f>+'Cost of Salesa Expenses'!B183</f>
        <v>626 - Official work, study tour, training, etc</v>
      </c>
      <c r="E358" s="86"/>
      <c r="F358" s="86"/>
      <c r="G358" s="87"/>
      <c r="H358" s="84"/>
    </row>
    <row r="359" spans="1:8" ht="12.75" customHeight="1">
      <c r="A359" s="78"/>
      <c r="B359" s="85"/>
      <c r="C359" s="62" t="str">
        <f>+'Cost of Salesa Expenses'!A184</f>
        <v>6261 - ວຽກງານ​ທາງ​ການ, ທັດສະນະ​ສຶກສາ, ​ຝຶກ​ອົບຮົມ ​ແລະ ອື່ນໆ</v>
      </c>
      <c r="D359" s="62" t="str">
        <f>+'Cost of Salesa Expenses'!B184</f>
        <v>6261 - Official work, study tour, training, etc</v>
      </c>
      <c r="E359" s="86"/>
      <c r="F359" s="86"/>
      <c r="G359" s="87"/>
      <c r="H359" s="84"/>
    </row>
    <row r="360" spans="1:8" ht="12.75" customHeight="1">
      <c r="A360" s="78"/>
      <c r="B360" s="85"/>
      <c r="C360" s="62" t="str">
        <f>+'Cost of Salesa Expenses'!A185</f>
        <v>6261.01 - ວຽກງານ​ທາງ​ການ, ທັດສະນະ​ສຶກສາ, ​ຝຶກ​ອົບຮົມ ​ແລະ ອື່ນໆ - ຕົ້ນທຶນການບໍລິການ</v>
      </c>
      <c r="D360" s="62" t="str">
        <f>+'Cost of Salesa Expenses'!B185</f>
        <v>6261.01 - Official work, study tours, training, etc. - Cost of services</v>
      </c>
      <c r="E360" s="86"/>
      <c r="F360" s="86"/>
      <c r="G360" s="87"/>
      <c r="H360" s="84"/>
    </row>
    <row r="361" spans="1:8" ht="12.75" customHeight="1">
      <c r="A361" s="78"/>
      <c r="B361" s="85"/>
      <c r="C361" s="62" t="str">
        <f>+'Cost of Salesa Expenses'!A186</f>
        <v>6261.02 - ວຽກງານ​ທາງ​ການ, ທັດສະນະ​ສຶກສາ, ​ຝຶກ​ອົບຮົມ ​ແລະ ອື່ນໆ - ຄ່າໃຊ້ຈ່າຍການຂາຍການບໍລິການ</v>
      </c>
      <c r="D361" s="62" t="str">
        <f>+'Cost of Salesa Expenses'!B186</f>
        <v>6261.02 - Official work, study tour, training, etc. - Cost of selling services</v>
      </c>
      <c r="E361" s="86"/>
      <c r="F361" s="86"/>
      <c r="G361" s="87"/>
      <c r="H361" s="84"/>
    </row>
    <row r="362" spans="1:8" ht="12.75" customHeight="1">
      <c r="A362" s="78"/>
      <c r="B362" s="85"/>
      <c r="C362" s="62" t="str">
        <f>+'Cost of Salesa Expenses'!A187</f>
        <v>6261.03 - ວຽກງານ​ທາງ​ການ, ທັດສະນະ​ສຶກສາ, ​ຝຶກ​ອົບຮົມ ​ແລະ ອື່ນໆ - ຄ່າໃຊ້ຈ່າຍບໍລິຫານ</v>
      </c>
      <c r="D362" s="62" t="str">
        <f>+'Cost of Salesa Expenses'!B187</f>
        <v>6261.03 - Official work, study tour, training, etc. - Administrative expenses</v>
      </c>
      <c r="E362" s="86"/>
      <c r="F362" s="86"/>
      <c r="G362" s="87"/>
      <c r="H362" s="84"/>
    </row>
    <row r="363" spans="1:8" ht="12.75" customHeight="1">
      <c r="A363" s="78"/>
      <c r="B363" s="85"/>
      <c r="C363" s="62" t="str">
        <f>+'Cost of Salesa Expenses'!A209</f>
        <v>632 - ​ເງິນບຳ​ເນັດ​ ​ແລະ ຍ້ອງຍໍ</v>
      </c>
      <c r="D363" s="62" t="str">
        <f>+'Cost of Salesa Expenses'!B209</f>
        <v>632 - Remuneration and praise</v>
      </c>
      <c r="E363" s="86"/>
      <c r="F363" s="86"/>
      <c r="G363" s="87"/>
      <c r="H363" s="84"/>
    </row>
    <row r="364" spans="1:8" ht="12.75" customHeight="1">
      <c r="A364" s="78"/>
      <c r="B364" s="85"/>
      <c r="C364" s="62" t="str">
        <f>+'Cost of Salesa Expenses'!A210</f>
        <v>6321 - ​ເງິນບຳ​ເນັດ​ ​ແລະ ຍ້ອງຍໍ</v>
      </c>
      <c r="D364" s="62" t="str">
        <f>+'Cost of Salesa Expenses'!B210</f>
        <v>6321 - Remuneration and praise</v>
      </c>
      <c r="E364" s="86"/>
      <c r="F364" s="86"/>
      <c r="G364" s="87"/>
      <c r="H364" s="84"/>
    </row>
    <row r="365" spans="1:8" ht="12.75" customHeight="1">
      <c r="A365" s="78"/>
      <c r="B365" s="85"/>
      <c r="C365" s="62" t="str">
        <f>+'Cost of Salesa Expenses'!A211</f>
        <v>6321.03 - ​ເງິນບຳ​ເນັດ​ ​ແລະ ຍ້ອງຍໍ</v>
      </c>
      <c r="D365" s="62" t="str">
        <f>+'Cost of Salesa Expenses'!B211</f>
        <v>6321.03 - Remuneration and praise</v>
      </c>
      <c r="E365" s="86"/>
      <c r="F365" s="86"/>
      <c r="G365" s="87"/>
      <c r="H365" s="84"/>
    </row>
    <row r="366" spans="1:8" ht="12.75" customHeight="1">
      <c r="A366" s="78"/>
      <c r="B366" s="85"/>
      <c r="C366" s="62" t="str">
        <f>+'Cost of Salesa Expenses'!A212</f>
        <v>633 - ​ເງິນນະ​​ໂຍບາຍ​ພັກ​ຜ່ອນ ​ແລະ ສະຫວັດດີການ</v>
      </c>
      <c r="D366" s="62" t="str">
        <f>+'Cost of Salesa Expenses'!B212</f>
        <v>633 - Vacation and welfare policy funds</v>
      </c>
      <c r="E366" s="86"/>
      <c r="F366" s="86"/>
      <c r="G366" s="87"/>
      <c r="H366" s="84"/>
    </row>
    <row r="367" spans="1:8" ht="12.75" customHeight="1">
      <c r="A367" s="78"/>
      <c r="B367" s="85"/>
      <c r="C367" s="62" t="str">
        <f>+'Cost of Salesa Expenses'!A213</f>
        <v>6331 - ​ເງິນນະ​​ໂຍບາຍ​ພັກ​ຜ່ອນ ​ແລະ ສະຫວັດດີການ</v>
      </c>
      <c r="D367" s="62" t="str">
        <f>+'Cost of Salesa Expenses'!B213</f>
        <v>6331 - Vacation and welfare policy funds</v>
      </c>
      <c r="E367" s="86"/>
      <c r="F367" s="86"/>
      <c r="G367" s="87"/>
      <c r="H367" s="84"/>
    </row>
    <row r="368" spans="1:8" ht="12.75" customHeight="1">
      <c r="A368" s="78"/>
      <c r="B368" s="85"/>
      <c r="C368" s="62" t="str">
        <f>+'Cost of Salesa Expenses'!A214</f>
        <v>6331.03 - ​ເງິນນະ​​ໂຍບາຍ​ພັກ​ຜ່ອນ ​ແລະ ສະຫວັດດີການ</v>
      </c>
      <c r="D368" s="62" t="str">
        <f>+'Cost of Salesa Expenses'!B214</f>
        <v>6331.03 - Vacation and welfare policy funds</v>
      </c>
      <c r="E368" s="86"/>
      <c r="F368" s="86"/>
      <c r="G368" s="87"/>
      <c r="H368" s="84"/>
    </row>
    <row r="369" spans="1:8" ht="12.75" customHeight="1">
      <c r="A369" s="78"/>
      <c r="B369" s="85"/>
      <c r="C369" s="63" t="str">
        <f>+'Cost of Salesa Expenses'!A225</f>
        <v>636 - ເງິນ​ນະ​ໂຍ​ບາຍ​ຕ່າງໆ</v>
      </c>
      <c r="D369" s="63" t="str">
        <f>+'Cost of Salesa Expenses'!B225</f>
        <v>636 - Money for various policies</v>
      </c>
      <c r="E369" s="86"/>
      <c r="F369" s="86"/>
      <c r="G369" s="87"/>
      <c r="H369" s="84"/>
    </row>
    <row r="370" spans="1:8" ht="12.75" customHeight="1">
      <c r="A370" s="78"/>
      <c r="B370" s="85"/>
      <c r="C370" s="62" t="str">
        <f>+'Cost of Salesa Expenses'!A226</f>
        <v>6361 - ເງິນ​ນະ​ໂຍ​ບາຍ​ຕ່າງໆ ຊຸດເຄື່ອງແບບພະນັກງານ</v>
      </c>
      <c r="D370" s="62" t="str">
        <f>+'Cost of Salesa Expenses'!B226</f>
        <v>6361 - Various policies, employee uniforms</v>
      </c>
      <c r="E370" s="86"/>
      <c r="F370" s="86"/>
      <c r="G370" s="87"/>
      <c r="H370" s="84"/>
    </row>
    <row r="371" spans="1:8" ht="12.75" customHeight="1">
      <c r="A371" s="78"/>
      <c r="B371" s="85"/>
      <c r="C371" s="62" t="str">
        <f>+'Cost of Salesa Expenses'!A227</f>
        <v>6361.01 - ເງິນ​ນະ​ໂຍ​ບາຍ​ຕ່າງໆ ຊຸດເຄື່ອງແບບພະນັກງານ- ຕົ້ນທຶນການບໍລິການ</v>
      </c>
      <c r="D371" s="62" t="str">
        <f>+'Cost of Salesa Expenses'!B227</f>
        <v>6361.01 - Various policies, staff uniforms - service cost</v>
      </c>
      <c r="E371" s="86"/>
      <c r="F371" s="86"/>
      <c r="G371" s="87"/>
      <c r="H371" s="84"/>
    </row>
    <row r="372" spans="1:8" ht="12.75" customHeight="1">
      <c r="A372" s="78"/>
      <c r="B372" s="85"/>
      <c r="C372" s="62" t="str">
        <f>+'Cost of Salesa Expenses'!A228</f>
        <v>6361.02 - ເງິນ​ນະ​ໂຍ​ບາຍ​ຕ່າງໆ ຊຸດເຄື່ອງແບບພະນັກງານ- ຄ່າໃຊ້ຈ່າຍການຂາຍການບໍລິການ</v>
      </c>
      <c r="D372" s="62" t="str">
        <f>+'Cost of Salesa Expenses'!B228</f>
        <v>6361.02 - Various policies, staff uniforms - Cost of selling services</v>
      </c>
      <c r="E372" s="86"/>
      <c r="F372" s="86"/>
      <c r="G372" s="87"/>
      <c r="H372" s="84"/>
    </row>
    <row r="373" spans="1:8" ht="12.75" customHeight="1">
      <c r="A373" s="78"/>
      <c r="B373" s="85"/>
      <c r="C373" s="62" t="str">
        <f>+'Cost of Salesa Expenses'!A229</f>
        <v>6361.03 - ເງິນ​ນະ​ໂຍ​ບາຍ​ຕ່າງໆ ຊຸດເຄື່ອງແບບພະນັກງານ- ຄ່າໃຊ້ຈ່າຍບໍລິຫານ</v>
      </c>
      <c r="D373" s="62" t="str">
        <f>+'Cost of Salesa Expenses'!B229</f>
        <v>6361.03 - Various policies, staff uniforms - administrative expenses</v>
      </c>
      <c r="E373" s="86"/>
      <c r="F373" s="86"/>
      <c r="G373" s="87"/>
      <c r="H373" s="84"/>
    </row>
    <row r="374" spans="1:8" ht="12.75" customHeight="1">
      <c r="A374" s="78"/>
      <c r="B374" s="85"/>
      <c r="C374" s="62" t="str">
        <f>+'Cost of Salesa Expenses'!A230</f>
        <v>6362 - ເງິນ​ນະ​ໂຍ​ບາຍ​ຕ່າງໆ (ເຄັກວັນເກີດ, ແຕ່ງງານ,ເກີດລູກ,ຄອບຄົວເສຍຊີວິດ)</v>
      </c>
      <c r="D374" s="62" t="str">
        <f>+'Cost of Salesa Expenses'!B230</f>
        <v>6362 - Various policies (birthday cakes, weddings, births, family deaths)</v>
      </c>
      <c r="E374" s="86"/>
      <c r="F374" s="86"/>
      <c r="G374" s="87"/>
      <c r="H374" s="84"/>
    </row>
    <row r="375" spans="1:8" ht="12.75" customHeight="1">
      <c r="A375" s="78"/>
      <c r="B375" s="85"/>
      <c r="C375" s="62" t="str">
        <f>+'Cost of Salesa Expenses'!A231</f>
        <v>6362.01 - ເງິນ​ນະ​ໂຍ​ບາຍ​ຕ່າງໆ (ເຄັກວັນເກີດ, ແຕ່ງງານ,ເກີດລູກ,ຄອບຄົວເສຍຊີວິດ)- ຕົ້ນທຶນການບໍລິການ</v>
      </c>
      <c r="D375" s="62" t="str">
        <f>+'Cost of Salesa Expenses'!B231</f>
        <v>6362.01 - Various policies (birthday cake, wedding, childbirth, family death) - service cost</v>
      </c>
      <c r="E375" s="86"/>
      <c r="F375" s="86"/>
      <c r="G375" s="87"/>
      <c r="H375" s="84"/>
    </row>
    <row r="376" spans="1:8" ht="12.75" customHeight="1">
      <c r="A376" s="78"/>
      <c r="B376" s="85"/>
      <c r="C376" s="62" t="str">
        <f>+'Cost of Salesa Expenses'!A232</f>
        <v>6362.02 - ເງິນ​ນະ​ໂຍ​ບາຍ​ຕ່າງໆ (ເຄັກວັນເກີດ, ແຕ່ງງານ,ເກີດລູກ,ຄອບຄົວເສຍຊີວິດ) - ຄ່າໃຊ້ຈ່າຍການຂາຍການບໍລິການ</v>
      </c>
      <c r="D376" s="62" t="str">
        <f>+'Cost of Salesa Expenses'!B232</f>
        <v>6362.02 - Various policies (birthday cakes, weddings, births, family deaths) - Cost of selling services</v>
      </c>
      <c r="E376" s="86"/>
      <c r="F376" s="86"/>
      <c r="G376" s="87"/>
      <c r="H376" s="84"/>
    </row>
    <row r="377" spans="1:8" ht="12.75" customHeight="1">
      <c r="A377" s="78"/>
      <c r="B377" s="85"/>
      <c r="C377" s="62" t="str">
        <f>+'Cost of Salesa Expenses'!A233</f>
        <v>6362.03 - ເງິນ​ນະ​ໂຍ​ບາຍ​ຕ່າງໆ (ເຄັກວັນເກີດ, ແຕ່ງງານ,ເກີດລູກ,ຄອບຄົວເສຍຊີວິດ)- ຄ່າໃຊ້ຈ່າຍບໍລິຫານ</v>
      </c>
      <c r="D377" s="62" t="str">
        <f>+'Cost of Salesa Expenses'!B233</f>
        <v>6362.03 - Various policies (birthday cakes, weddings, births, family deaths) - administrative expenses</v>
      </c>
      <c r="E377" s="86"/>
      <c r="F377" s="86"/>
      <c r="G377" s="87"/>
      <c r="H377" s="84"/>
    </row>
    <row r="378" spans="1:8" ht="12.75" customHeight="1">
      <c r="A378" s="78"/>
      <c r="B378" s="85"/>
      <c r="C378" s="62" t="str">
        <f>+'Cost of Salesa Expenses'!A234</f>
        <v>6363 - ເງິນ​ນະ​ໂຍ​ບາຍ​ຕ່າງໆ ດ້ານສຸຂະພາບ</v>
      </c>
      <c r="D378" s="62" t="str">
        <f>+'Cost of Salesa Expenses'!B234</f>
        <v>6363 - Money for various health policies</v>
      </c>
      <c r="E378" s="86"/>
      <c r="F378" s="86"/>
      <c r="G378" s="87"/>
      <c r="H378" s="84"/>
    </row>
    <row r="379" spans="1:8" ht="12.75" customHeight="1">
      <c r="A379" s="78"/>
      <c r="B379" s="85"/>
      <c r="C379" s="62" t="str">
        <f>+'Cost of Salesa Expenses'!A235</f>
        <v>6363.01 - ເງິນ​ນະ​ໂຍ​ບາຍ​ຕ່າງໆ - ຕົ້ນທຶນການບໍລິການ</v>
      </c>
      <c r="D379" s="62" t="str">
        <f>+'Cost of Salesa Expenses'!B235</f>
        <v>6363.01 - Various policies - Cost of services</v>
      </c>
      <c r="E379" s="86"/>
      <c r="F379" s="86"/>
      <c r="G379" s="87"/>
      <c r="H379" s="84"/>
    </row>
    <row r="380" spans="1:8" ht="12.75" customHeight="1">
      <c r="A380" s="78"/>
      <c r="B380" s="85"/>
      <c r="C380" s="62" t="str">
        <f>+'Cost of Salesa Expenses'!A236</f>
        <v>6363.02 - ເງິນ​ນະ​ໂຍ​ບາຍ​ຕ່າງໆ - ຄ່າໃຊ້ຈ່າຍການຂາຍການບໍລິການ</v>
      </c>
      <c r="D380" s="62" t="str">
        <f>+'Cost of Salesa Expenses'!B236</f>
        <v>6363.02 - Various policy fees - Cost of selling services</v>
      </c>
      <c r="E380" s="86"/>
      <c r="F380" s="86"/>
      <c r="G380" s="87"/>
      <c r="H380" s="84"/>
    </row>
    <row r="381" spans="1:8" ht="12.75" customHeight="1">
      <c r="A381" s="78"/>
      <c r="B381" s="85"/>
      <c r="C381" s="62" t="str">
        <f>+'Cost of Salesa Expenses'!A237</f>
        <v>6363.03 - ເງິນ​ນະ​ໂຍ​ບາຍ​ຕ່າງໆ - ຄ່າໃຊ້ຈ່າຍບໍລິຫານ</v>
      </c>
      <c r="D381" s="62" t="str">
        <f>+'Cost of Salesa Expenses'!B237</f>
        <v>6363.03 - Various policies - Administrative expenses</v>
      </c>
      <c r="E381" s="86"/>
      <c r="F381" s="86"/>
      <c r="G381" s="87"/>
      <c r="H381" s="84"/>
    </row>
    <row r="382" spans="1:8" ht="12.75" customHeight="1">
      <c r="A382" s="78"/>
      <c r="B382" s="85"/>
      <c r="C382" s="62" t="str">
        <f>+'Cost of Salesa Expenses'!A238</f>
        <v>637 - ລາຍ​ຈ່າຍ​ດ້ານ​ສັງ​ຄົມອື່ນໆ</v>
      </c>
      <c r="D382" s="62" t="str">
        <f>+'Cost of Salesa Expenses'!B238</f>
        <v>637 - Other social expenses</v>
      </c>
      <c r="E382" s="86"/>
      <c r="F382" s="86"/>
      <c r="G382" s="87"/>
      <c r="H382" s="84"/>
    </row>
    <row r="383" spans="1:8" ht="12.75" customHeight="1">
      <c r="A383" s="78"/>
      <c r="B383" s="85"/>
      <c r="C383" s="62" t="str">
        <f>+'Cost of Salesa Expenses'!A239</f>
        <v>6371 - ລາຍ​ຈ່າຍ​ດ້ານ​ສັງ​ຄົມອື່ນໆ</v>
      </c>
      <c r="D383" s="62" t="str">
        <f>+'Cost of Salesa Expenses'!B239</f>
        <v>6371 - Other social expenses</v>
      </c>
      <c r="E383" s="86"/>
      <c r="F383" s="86"/>
      <c r="G383" s="87"/>
      <c r="H383" s="84"/>
    </row>
    <row r="384" spans="1:8" ht="12.75" customHeight="1">
      <c r="A384" s="78"/>
      <c r="B384" s="85"/>
      <c r="C384" s="62" t="str">
        <f>+'Cost of Salesa Expenses'!A240</f>
        <v>6371.01 - ລາຍ​ຈ່າຍ​ອຸດໜູນດ້ານ​ສັງ​ຄົມອື່ນໆ - ຕົ້ນທຶນການບໍລິການ</v>
      </c>
      <c r="D384" s="62" t="str">
        <f>+'Cost of Salesa Expenses'!B240</f>
        <v>6371.01 - Other social support expenses - Service cost</v>
      </c>
      <c r="E384" s="86"/>
      <c r="F384" s="86"/>
      <c r="G384" s="87"/>
      <c r="H384" s="84"/>
    </row>
    <row r="385" spans="1:8" ht="12.75" customHeight="1">
      <c r="A385" s="78"/>
      <c r="B385" s="85"/>
      <c r="C385" s="62" t="str">
        <f>+'Cost of Salesa Expenses'!A241</f>
        <v>6371.02 - ລາຍ​ຈ່າຍ​ອຸດໜູນດ້ານ​ສັງ​ຄົມອື່ນໆ - ຄ່າໃຊ້ຈ່າຍການຂາຍການບໍລິການ</v>
      </c>
      <c r="D385" s="62" t="str">
        <f>+'Cost of Salesa Expenses'!B241</f>
        <v>6371.02 - Other social support expenses - Cost of selling services</v>
      </c>
      <c r="E385" s="86"/>
      <c r="F385" s="86"/>
      <c r="G385" s="87"/>
      <c r="H385" s="84"/>
    </row>
    <row r="386" spans="1:8" ht="12.75" customHeight="1">
      <c r="A386" s="78"/>
      <c r="B386" s="85"/>
      <c r="C386" s="62" t="str">
        <f>+'Cost of Salesa Expenses'!A242</f>
        <v>6371.03 - ລາຍ​ຈ່າຍ​ອຸດໜູນດ້ານ​ສັງ​ຄົມອື່ນໆ - ຄ່າໃຊ້ຈ່າຍບໍລິຫານ</v>
      </c>
      <c r="D386" s="62" t="str">
        <f>+'Cost of Salesa Expenses'!B242</f>
        <v>6371.03 - Other social support expenses - Administrative expenses</v>
      </c>
      <c r="E386" s="86"/>
      <c r="F386" s="86"/>
      <c r="G386" s="87"/>
      <c r="H386" s="84"/>
    </row>
    <row r="387" spans="1:8" ht="12.75" customHeight="1">
      <c r="A387" s="78"/>
      <c r="B387" s="85"/>
      <c r="C387" s="62" t="str">
        <f>+'Cost of Salesa Expenses'!A243</f>
        <v>638 - ​ລາຍ​ຈ່າຍ​ອື່ນໆໃຫ້​ພະນັກງານ</v>
      </c>
      <c r="D387" s="62" t="str">
        <f>+'Cost of Salesa Expenses'!B243</f>
        <v>638 - Other expenses for employees</v>
      </c>
      <c r="E387" s="86"/>
      <c r="F387" s="86"/>
      <c r="G387" s="87"/>
      <c r="H387" s="84"/>
    </row>
    <row r="388" spans="1:8" ht="12.75" customHeight="1">
      <c r="A388" s="78"/>
      <c r="B388" s="85"/>
      <c r="C388" s="62" t="str">
        <f>+'Cost of Salesa Expenses'!A244</f>
        <v>6381 - ​ລາຍ​ຈ່າຍ​ອື່ນໆໃຫ້​ພະນັກງານ</v>
      </c>
      <c r="D388" s="62" t="str">
        <f>+'Cost of Salesa Expenses'!B244</f>
        <v>6381 - Other expenses for employees</v>
      </c>
      <c r="E388" s="86"/>
      <c r="F388" s="86"/>
      <c r="G388" s="87"/>
      <c r="H388" s="84"/>
    </row>
    <row r="389" spans="1:8" ht="12.75" customHeight="1">
      <c r="A389" s="78"/>
      <c r="B389" s="85"/>
      <c r="C389" s="62" t="str">
        <f>+'Cost of Salesa Expenses'!A245</f>
        <v>6381.01 - ​ລາຍ​ຈ່າຍ​ອື່ນໆໃຫ້​ພະນັກງານ - ຕົ້ນທຶນການບໍລິການ</v>
      </c>
      <c r="D389" s="62" t="str">
        <f>+'Cost of Salesa Expenses'!B245</f>
        <v>6381.01 - Other expenses for employees - Service cost</v>
      </c>
      <c r="E389" s="86"/>
      <c r="F389" s="86"/>
      <c r="G389" s="87"/>
      <c r="H389" s="84"/>
    </row>
    <row r="390" spans="1:8" ht="12.75" customHeight="1">
      <c r="A390" s="78"/>
      <c r="B390" s="85"/>
      <c r="C390" s="62" t="str">
        <f>+'Cost of Salesa Expenses'!A246</f>
        <v>6381.02 - ​ລາຍ​ຈ່າຍ​ອື່ນໆໃຫ້​ພະນັກງານ - ຄ່າໃຊ້ຈ່າຍການຂາຍການບໍລິການ</v>
      </c>
      <c r="D390" s="62" t="str">
        <f>+'Cost of Salesa Expenses'!B246</f>
        <v>6381.02 - Other expenses for employees - Cost of selling services</v>
      </c>
      <c r="E390" s="86"/>
      <c r="F390" s="86"/>
      <c r="G390" s="87"/>
      <c r="H390" s="84"/>
    </row>
    <row r="391" spans="1:8" ht="12.75" customHeight="1">
      <c r="A391" s="78"/>
      <c r="B391" s="85"/>
      <c r="C391" s="62" t="str">
        <f>+'Cost of Salesa Expenses'!A247</f>
        <v>6381.03 - ​ລາຍ​ຈ່າຍ​ອື່ນໆໃຫ້​ພະນັກງານ - ຄ່າໃຊ້ຈ່າຍບໍລິຫານ</v>
      </c>
      <c r="D391" s="62" t="str">
        <f>+'Cost of Salesa Expenses'!B247</f>
        <v>6381.03 - Other expenses for employees - Administrative expenses</v>
      </c>
      <c r="E391" s="86"/>
      <c r="F391" s="86"/>
      <c r="G391" s="87"/>
      <c r="H391" s="84"/>
    </row>
    <row r="392" spans="1:8" ht="12.75" customHeight="1">
      <c r="A392" s="78"/>
      <c r="B392" s="85"/>
      <c r="C392" s="62" t="str">
        <f>+'Cost of Salesa Expenses'!A248</f>
        <v>6382 - ​ລາຍ​ຈ່າຍ​ອື່ນໆໃຫ້​ພະນັກງານ ຈ່າຍໂບນັດພະນັກງານ</v>
      </c>
      <c r="D392" s="62" t="str">
        <f>+'Cost of Salesa Expenses'!B248</f>
        <v>6382 - Other expenses for employees to pay employee bonuses</v>
      </c>
      <c r="E392" s="86"/>
      <c r="F392" s="86"/>
      <c r="G392" s="87"/>
      <c r="H392" s="84"/>
    </row>
    <row r="393" spans="1:8" ht="12.75" customHeight="1">
      <c r="A393" s="78"/>
      <c r="B393" s="85"/>
      <c r="C393" s="62" t="str">
        <f>+'Cost of Salesa Expenses'!A249</f>
        <v>6382.01 - ​ລາຍ​ຈ່າຍ​ອື່ນໆໃຫ້​ພະນັກງານ ຈ່າຍໂບນັດພະນັກງານ - ຕົ້ນທຶນການບໍລິການ</v>
      </c>
      <c r="D393" s="62" t="str">
        <f>+'Cost of Salesa Expenses'!B249</f>
        <v>6382.01 - Other expenses for employees, payment of employee bonuses - cost of services</v>
      </c>
      <c r="E393" s="86"/>
      <c r="F393" s="86"/>
      <c r="G393" s="87"/>
      <c r="H393" s="84"/>
    </row>
    <row r="394" spans="1:8" ht="12.75" customHeight="1">
      <c r="A394" s="78"/>
      <c r="B394" s="85"/>
      <c r="C394" s="62" t="str">
        <f>+'Cost of Salesa Expenses'!A250</f>
        <v>6382.02 - ​ລາຍ​ຈ່າຍ​ອື່ນໆໃຫ້​ພະນັກງານ ຈ່າຍໂບນັດພະນັກງານ - ຄ່າໃຊ້ຈ່າຍການຂາຍການບໍລິການ</v>
      </c>
      <c r="D394" s="62" t="str">
        <f>+'Cost of Salesa Expenses'!B250</f>
        <v>6382.02 - Other expenses for employees, payment of employee bonuses - Cost of selling services</v>
      </c>
      <c r="E394" s="86"/>
      <c r="F394" s="86"/>
      <c r="G394" s="87"/>
      <c r="H394" s="84"/>
    </row>
    <row r="395" spans="1:8" ht="12.75" customHeight="1">
      <c r="A395" s="78"/>
      <c r="B395" s="85"/>
      <c r="C395" s="62" t="str">
        <f>+'Cost of Salesa Expenses'!A251</f>
        <v>6382.03 - ​ລາຍ​ຈ່າຍ​ອື່ນໆໃຫ້​ພະນັກງານ ຈ່າຍໂບນັດພະນັກງານ - ຄ່າໃຊ້ຈ່າຍບໍລິຫານ</v>
      </c>
      <c r="D395" s="62" t="str">
        <f>+'Cost of Salesa Expenses'!B251</f>
        <v>6382.03 - Other expenses for employees, payment of employee bonuses - administrative expenses</v>
      </c>
      <c r="E395" s="86"/>
      <c r="F395" s="86"/>
      <c r="G395" s="87"/>
      <c r="H395" s="84"/>
    </row>
    <row r="396" spans="1:8" ht="12.75" customHeight="1">
      <c r="A396" s="78"/>
      <c r="B396" s="85"/>
      <c r="C396" s="62" t="str">
        <f>+'Cost of Salesa Expenses'!A252</f>
        <v>6383 - ​ລາຍ​ຈ່າຍ​ອື່ນໆໃຫ້​ພະນັກງານ ຄ່າກິດຈະກຳ ກິລາ ແລະ ທ່ອງທ່ຽວ</v>
      </c>
      <c r="D396" s="62" t="str">
        <f>+'Cost of Salesa Expenses'!B252</f>
        <v>6383 - Other expenses for employees for activities, sports and tourism</v>
      </c>
      <c r="E396" s="86"/>
      <c r="F396" s="86"/>
      <c r="G396" s="87"/>
      <c r="H396" s="84"/>
    </row>
    <row r="397" spans="1:8" ht="12.75" customHeight="1">
      <c r="A397" s="78"/>
      <c r="B397" s="85"/>
      <c r="C397" s="62" t="str">
        <f>+'Cost of Salesa Expenses'!A253</f>
        <v>6383.01 - ​ລາຍ​ຈ່າຍ​ອື່ນໆໃຫ້​ພະນັກງານ ຄ່າກິດຈະກຳ ກິລາ ແລະ ທ່ອງທ່ຽວ - ຕົ້ນທຶນການບໍລິການ</v>
      </c>
      <c r="D397" s="62" t="str">
        <f>+'Cost of Salesa Expenses'!B253</f>
        <v>6383.01 - Other expenses for employees, sports and tourism activities - service costs</v>
      </c>
      <c r="E397" s="86"/>
      <c r="F397" s="86"/>
      <c r="G397" s="87"/>
      <c r="H397" s="84"/>
    </row>
    <row r="398" spans="1:8" ht="12.75" customHeight="1">
      <c r="A398" s="78"/>
      <c r="B398" s="85"/>
      <c r="C398" s="62" t="str">
        <f>+'Cost of Salesa Expenses'!A254</f>
        <v>6383.02 - ​ລາຍ​ຈ່າຍ​ອື່ນໆໃຫ້​ພະນັກງານ ຄ່າກິດຈະກຳ ກິລາ ແລະ ທ່ອງທ່ຽວ - ຄ່າໃຊ້ຈ່າຍການຂາຍການບໍລິການ</v>
      </c>
      <c r="D398" s="62" t="str">
        <f>+'Cost of Salesa Expenses'!B254</f>
        <v>6383.02 - Other expenses for employees, sports and tourism activities - Service sales expenses</v>
      </c>
      <c r="E398" s="86"/>
      <c r="F398" s="86"/>
      <c r="G398" s="87"/>
      <c r="H398" s="84"/>
    </row>
    <row r="399" spans="1:8" ht="12.75" customHeight="1">
      <c r="A399" s="78"/>
      <c r="B399" s="85"/>
      <c r="C399" s="62" t="str">
        <f>+'Cost of Salesa Expenses'!A255</f>
        <v>6383.03 - ​ລາຍ​ຈ່າຍ​ອື່ນໆໃຫ້​ພະນັກງານ ຄ່າກິດຈະກຳ ກິລາ ແລະ ທ່ອງທ່ຽວ - ຄ່າໃຊ້ຈ່າຍບໍລິຫານ</v>
      </c>
      <c r="D399" s="62" t="str">
        <f>+'Cost of Salesa Expenses'!B255</f>
        <v>6383.03 - Other expenses for employees Sports and tourism activities - Administrative expenses</v>
      </c>
      <c r="E399" s="86"/>
      <c r="F399" s="86"/>
      <c r="G399" s="87"/>
      <c r="H399" s="84"/>
    </row>
    <row r="400" spans="1:8" ht="12.75" customHeight="1">
      <c r="A400" s="78"/>
      <c r="B400" s="85"/>
      <c r="C400" s="62" t="str">
        <f>+'Cost of Salesa Expenses'!A295</f>
        <v>662 - ສ່ວນຫຼຸດການ​ຊຳ​ລະ​ສະ​ສາງ</v>
      </c>
      <c r="D400" s="62" t="str">
        <f>+'Cost of Salesa Expenses'!B295</f>
        <v>662 - Inventory payment discount</v>
      </c>
      <c r="E400" s="86"/>
      <c r="F400" s="86"/>
      <c r="G400" s="87"/>
      <c r="H400" s="84"/>
    </row>
    <row r="401" spans="1:8" ht="12.75" customHeight="1">
      <c r="A401" s="78"/>
      <c r="B401" s="85"/>
      <c r="C401" s="62" t="str">
        <f>+'Cost of Salesa Expenses'!A296</f>
        <v>6621 - ສ່ວນຫຼຸດການ​ຊຳ​ລະ​ສະ​ສາງ</v>
      </c>
      <c r="D401" s="62" t="str">
        <f>+'Cost of Salesa Expenses'!B296</f>
        <v>6621 - Inventory clearance discount</v>
      </c>
      <c r="E401" s="86"/>
      <c r="F401" s="86"/>
      <c r="G401" s="87"/>
      <c r="H401" s="84"/>
    </row>
    <row r="402" spans="1:8" ht="12.75" customHeight="1">
      <c r="A402" s="78"/>
      <c r="B402" s="85"/>
      <c r="C402" s="62" t="str">
        <f>+'Cost of Salesa Expenses'!A297</f>
        <v>6621.01 - ສ່ວນຫຼຸດການ​ຊຳ​ລະ​ສະ​ສາງ</v>
      </c>
      <c r="D402" s="62" t="str">
        <f>+'Cost of Salesa Expenses'!B297</f>
        <v>6621.01 - Inventory payment discount</v>
      </c>
      <c r="E402" s="86"/>
      <c r="F402" s="86"/>
      <c r="G402" s="87"/>
      <c r="H402" s="84"/>
    </row>
    <row r="403" spans="1:8" ht="12.75" customHeight="1">
      <c r="A403" s="78"/>
      <c r="B403" s="85"/>
      <c r="C403" s="62" t="str">
        <f>+'Cost of Salesa Expenses'!A298</f>
        <v>663 - ຂາດ​ທຶນ​ຈາກ​ອັດຕາ​ແລກປ່ຽນ​​ເງິນ​ຕາ</v>
      </c>
      <c r="D403" s="62" t="str">
        <f>+'Cost of Salesa Expenses'!B298</f>
        <v>663 - Lack of capital from currency exchange rate</v>
      </c>
      <c r="E403" s="86"/>
      <c r="F403" s="86"/>
      <c r="G403" s="87"/>
      <c r="H403" s="84"/>
    </row>
    <row r="404" spans="1:8" ht="12.75" customHeight="1">
      <c r="A404" s="78"/>
      <c r="B404" s="85"/>
      <c r="C404" s="62" t="str">
        <f>+'Cost of Salesa Expenses'!A299</f>
        <v>6631 - ຂາດ​ທຶນ​ຈາກ​ອັດຕາ​ແລກປ່ຽນ​​ເງິນ​ຕາ</v>
      </c>
      <c r="D404" s="62" t="str">
        <f>+'Cost of Salesa Expenses'!B299</f>
        <v>6631 - Lack of capital from currency exchange rate</v>
      </c>
      <c r="E404" s="86"/>
      <c r="F404" s="86"/>
      <c r="G404" s="87"/>
      <c r="H404" s="84"/>
    </row>
    <row r="405" spans="1:8" ht="12.75" customHeight="1">
      <c r="A405" s="78"/>
      <c r="B405" s="85"/>
      <c r="C405" s="62" t="str">
        <f>+'Cost of Salesa Expenses'!A300</f>
        <v>6631.01 - ຂາດ​ທຶນ​ຈາກ​ອັດຕາ​ແລກປ່ຽນ​​ເງິນ​ຕາ</v>
      </c>
      <c r="D405" s="62" t="str">
        <f>+'Cost of Salesa Expenses'!B300</f>
        <v>6631.01 - Lack of capital from currency exchange rate</v>
      </c>
      <c r="E405" s="86"/>
      <c r="F405" s="86"/>
      <c r="G405" s="87"/>
      <c r="H405" s="84"/>
    </row>
    <row r="406" spans="1:8" ht="12.75" customHeight="1">
      <c r="A406" s="78"/>
      <c r="B406" s="85"/>
      <c r="C406" s="62" t="str">
        <f>+'Cost of Salesa Expenses'!A301</f>
        <v>6631.02 - ຂາດ​ທຶນ​ຈາກ​ອັດຕາ​ແລກປ່ຽນ​​ ຊຳລະໜີ້ຜູ້ສະໜອງ</v>
      </c>
      <c r="D406" s="62" t="str">
        <f>+'Cost of Salesa Expenses'!B301</f>
        <v>6631.02 - Lack of capital from the exchange rate, payment of debts to suppliers</v>
      </c>
      <c r="E406" s="86"/>
      <c r="F406" s="86"/>
      <c r="G406" s="87"/>
      <c r="H406" s="84"/>
    </row>
    <row r="407" spans="1:8" ht="12.75" customHeight="1">
      <c r="A407" s="78"/>
      <c r="B407" s="85"/>
      <c r="C407" s="62" t="str">
        <f>+'Cost of Salesa Expenses'!A302</f>
        <v>6631.03 - ຂາດ​ທຶນ​ຈາກ​ອັດຕາ​ແລກປ່ຽນ​​ເງິນ​ຕາ ລູກຄ້າຊຳລະໜີ້</v>
      </c>
      <c r="D407" s="62" t="str">
        <f>+'Cost of Salesa Expenses'!B302</f>
        <v>6631.03 - Lack of capital due to currency exchange rate, customer paying debt</v>
      </c>
      <c r="E407" s="86"/>
      <c r="F407" s="86"/>
      <c r="G407" s="87"/>
      <c r="H407" s="84"/>
    </row>
    <row r="408" spans="1:8" ht="12.75" customHeight="1">
      <c r="A408" s="78"/>
      <c r="B408" s="85"/>
      <c r="C408" s="62" t="str">
        <f>+'Cost of Salesa Expenses'!A303</f>
        <v>6631.04 - ຂາດທຶນຈາກອັດຕາແລກປ່ຽນ - Unrealize</v>
      </c>
      <c r="D408" s="62" t="str">
        <f>+'Cost of Salesa Expenses'!B303</f>
        <v>6631.04 - Lack of funds from the exchange rate - Unrealize</v>
      </c>
      <c r="E408" s="86"/>
      <c r="F408" s="86"/>
      <c r="G408" s="87"/>
      <c r="H408" s="84"/>
    </row>
    <row r="409" spans="1:8" ht="12.75" customHeight="1">
      <c r="A409" s="78"/>
      <c r="B409" s="85"/>
      <c r="C409" s="62" t="str">
        <f>+'Cost of Salesa Expenses'!A304</f>
        <v>664 - ສ່ວນ​ປ່ຽນ​ແປງ ມູນ​ຄ່າ​ຍຸ​ຕິ​ທຳ ຂອງ​ເງິນ​ລົງ​ທຶນ ໃນ​ວິ​ສາ​ຫະ​ກິດ​ຂາ​ຮຸ້ນ</v>
      </c>
      <c r="D409" s="62" t="str">
        <f>+'Cost of Salesa Expenses'!B304</f>
        <v>664 - Changes in the fair value of investment in joint ventures</v>
      </c>
      <c r="E409" s="86"/>
      <c r="F409" s="86"/>
      <c r="G409" s="87"/>
      <c r="H409" s="84"/>
    </row>
    <row r="410" spans="1:8" ht="12.75" customHeight="1">
      <c r="A410" s="78"/>
      <c r="B410" s="85"/>
      <c r="C410" s="62" t="str">
        <f>+'Cost of Salesa Expenses'!A305</f>
        <v>6641 - ສ່ວນ​ປ່ຽນ​ແປງ ມູນ​ຄ່າ​ຍຸ​ຕິ​ທຳ ຂອງ​ເງິນ​ລົງ​ທຶນ ໃນ​ວິ​ສາ​ຫະ​ກິດ​ຂາ​ຮຸ້ນ</v>
      </c>
      <c r="D410" s="62" t="str">
        <f>+'Cost of Salesa Expenses'!B305</f>
        <v>6641 - Changes in the fair value of investment in joint ventures</v>
      </c>
      <c r="E410" s="86"/>
      <c r="F410" s="86"/>
      <c r="G410" s="87"/>
      <c r="H410" s="84"/>
    </row>
    <row r="411" spans="1:8" ht="12.75" customHeight="1">
      <c r="A411" s="78"/>
      <c r="B411" s="85"/>
      <c r="C411" s="62" t="str">
        <f>+'Cost of Salesa Expenses'!A306</f>
        <v>665 - ມູນ​ຄ່າ​ສ່ວນຫຼຸດ ບ້ວງຫຼັກ​ຊັບ​ລົງ​ທຶນ</v>
      </c>
      <c r="D411" s="62" t="str">
        <f>+'Cost of Salesa Expenses'!B306</f>
        <v>665 - Discount value of investment stock</v>
      </c>
      <c r="E411" s="86"/>
      <c r="F411" s="86"/>
      <c r="G411" s="87"/>
      <c r="H411" s="84"/>
    </row>
    <row r="412" spans="1:8" ht="12.75" customHeight="1">
      <c r="A412" s="78"/>
      <c r="B412" s="85"/>
      <c r="C412" s="62" t="str">
        <f>+'Cost of Salesa Expenses'!A307</f>
        <v>6651 - ມູນ​ຄ່າ​ສ່ວນຫຼຸດ ບ້ວງຫຼັກ​ຊັບ​ລົງ​ທຶນ</v>
      </c>
      <c r="D412" s="62" t="str">
        <f>+'Cost of Salesa Expenses'!B307</f>
        <v>6651 - Discount value for investment securities</v>
      </c>
      <c r="E412" s="86"/>
      <c r="F412" s="86"/>
      <c r="G412" s="87"/>
      <c r="H412" s="84"/>
    </row>
    <row r="413" spans="1:8" ht="12.75" customHeight="1">
      <c r="A413" s="78"/>
      <c r="B413" s="85"/>
      <c r="C413" s="62" t="str">
        <f>+'Cost of Salesa Expenses'!A308</f>
        <v>666 - ມູນ​ຄ່າ​ສ່ວນ​ຫຼຸດ ​ເຄື່ອງມື​ການ​ເງິນ ແລະ ​ເຄື່ອງມື​ປະ​ເພດ​ດຽວກັນ</v>
      </c>
      <c r="D413" s="62" t="str">
        <f>+'Cost of Salesa Expenses'!B308</f>
        <v>666 - Discount value of financial instruments and similar instruments</v>
      </c>
      <c r="E413" s="86"/>
      <c r="F413" s="86"/>
      <c r="G413" s="87"/>
      <c r="H413" s="84"/>
    </row>
    <row r="414" spans="1:8" ht="12.75" customHeight="1">
      <c r="A414" s="78"/>
      <c r="B414" s="85"/>
      <c r="C414" s="62" t="str">
        <f>+'Cost of Salesa Expenses'!A309</f>
        <v>6661 - ມູນ​ຄ່າ​ສ່ວນ​ຫຼຸດ ​ເຄື່ອງມື​ການ​ເງິນ ແລະ ​ເຄື່ອງມື​ປະ​ເພດ​ດຽວກັນ</v>
      </c>
      <c r="D414" s="62" t="str">
        <f>+'Cost of Salesa Expenses'!B309</f>
        <v>6661 - Discounted value of financial instruments and similar instruments</v>
      </c>
      <c r="E414" s="86"/>
      <c r="F414" s="86"/>
      <c r="G414" s="87"/>
      <c r="H414" s="84"/>
    </row>
    <row r="415" spans="1:8" ht="12.75" customHeight="1">
      <c r="A415" s="78"/>
      <c r="B415" s="85"/>
      <c r="C415" s="62" t="str">
        <f>+'Cost of Salesa Expenses'!A310</f>
        <v>667 - ລາຍ​ຈ່າຍ​ສຸດ​ທິ ຈາກ​ການ​ຂາຍຫຼັກ​ຊັບ​ໝູນ​ທຶນ</v>
      </c>
      <c r="D415" s="62" t="str">
        <f>+'Cost of Salesa Expenses'!B310</f>
        <v>667 - Net expenses from the sale of capital stock</v>
      </c>
      <c r="E415" s="86"/>
      <c r="F415" s="86"/>
      <c r="G415" s="87"/>
      <c r="H415" s="84"/>
    </row>
    <row r="416" spans="1:8" ht="12.75" customHeight="1">
      <c r="A416" s="78"/>
      <c r="B416" s="85"/>
      <c r="C416" s="62" t="str">
        <f>+'Cost of Salesa Expenses'!A311</f>
        <v>6671 - ລາຍ​ຈ່າຍ​ສຸດ​ທິ ຈາກ​ການ​ຂາຍຫຼັກ​ຊັບ​ໝູນ​ທຶນ</v>
      </c>
      <c r="D416" s="62" t="str">
        <f>+'Cost of Salesa Expenses'!B311</f>
        <v>6671 - Net expenses from the sale of capital stock</v>
      </c>
      <c r="E416" s="86"/>
      <c r="F416" s="86"/>
      <c r="G416" s="87"/>
      <c r="H416" s="84"/>
    </row>
    <row r="417" spans="1:8" ht="12.75" customHeight="1">
      <c r="A417" s="78"/>
      <c r="B417" s="85"/>
      <c r="C417" s="62" t="str">
        <f>+'Cost of Salesa Expenses'!A312</f>
        <v>668 - ລາຍ​ຈ່າຍ​ການເງິນອື່ນໆ​</v>
      </c>
      <c r="D417" s="62" t="str">
        <f>+'Cost of Salesa Expenses'!B312</f>
        <v>668 - Other financial expenses</v>
      </c>
      <c r="E417" s="86"/>
      <c r="F417" s="86"/>
      <c r="G417" s="87"/>
      <c r="H417" s="84"/>
    </row>
    <row r="418" spans="1:8" ht="12.75" customHeight="1">
      <c r="A418" s="78"/>
      <c r="B418" s="85"/>
      <c r="C418" s="62" t="str">
        <f>+'Cost of Salesa Expenses'!A313</f>
        <v>6681 - ລາຍ​ຈ່າຍ​ການເງິນອື່ນໆ​</v>
      </c>
      <c r="D418" s="62" t="str">
        <f>+'Cost of Salesa Expenses'!B313</f>
        <v>6681 - Other financial expenses</v>
      </c>
      <c r="E418" s="86"/>
      <c r="F418" s="86"/>
      <c r="G418" s="87"/>
      <c r="H418" s="84"/>
    </row>
    <row r="419" spans="1:8" ht="12.75" customHeight="1">
      <c r="A419" s="78"/>
      <c r="B419" s="85"/>
      <c r="C419" s="62" t="str">
        <f>+'Cost of Salesa Expenses'!A314</f>
        <v>67 - ລາຍ​ຈ່າຍ​​​ສັງ​ລວມ ຫຼັງອາ​ກອນ</v>
      </c>
      <c r="D419" s="62" t="str">
        <f>+'Cost of Salesa Expenses'!B314</f>
        <v>67 - Total expenditure after tax</v>
      </c>
      <c r="E419" s="86"/>
      <c r="F419" s="86"/>
      <c r="G419" s="87"/>
      <c r="H419" s="84"/>
    </row>
    <row r="420" spans="1:8" ht="12.75" customHeight="1">
      <c r="A420" s="78"/>
      <c r="B420" s="85"/>
      <c r="C420" s="62" t="str">
        <f>+'Cost of Salesa Expenses'!A315</f>
        <v>671 - ຄ່າ​ເວນ​ຄືນ</v>
      </c>
      <c r="D420" s="62" t="str">
        <f>+'Cost of Salesa Expenses'!B315</f>
        <v>671 - Refund fee</v>
      </c>
      <c r="E420" s="86"/>
      <c r="F420" s="86"/>
      <c r="G420" s="87"/>
      <c r="H420" s="84"/>
    </row>
    <row r="421" spans="1:8" ht="12.75" customHeight="1">
      <c r="A421" s="78"/>
      <c r="B421" s="85"/>
      <c r="C421" s="62" t="str">
        <f>+'Cost of Salesa Expenses'!A316</f>
        <v>6711 - ຄ່າ​ເວນ​ຄືນ</v>
      </c>
      <c r="D421" s="62" t="str">
        <f>+'Cost of Salesa Expenses'!B316</f>
        <v>6711 - Welsh return</v>
      </c>
      <c r="E421" s="86"/>
      <c r="F421" s="86"/>
      <c r="G421" s="87"/>
      <c r="H421" s="84"/>
    </row>
    <row r="422" spans="1:8" ht="12.75" customHeight="1">
      <c r="A422" s="78"/>
      <c r="B422" s="85"/>
      <c r="C422" s="62" t="str">
        <f>+'Cost of Salesa Expenses'!A317</f>
        <v>672 - ລາຍ​ຈ່າຍ​ຈາກ​ໄພພິບັດ​ທຳ​ມະ​ຊາດ</v>
      </c>
      <c r="D422" s="62" t="str">
        <f>+'Cost of Salesa Expenses'!B317</f>
        <v>672 - Expenses from natural disasters</v>
      </c>
      <c r="E422" s="86"/>
      <c r="F422" s="86"/>
      <c r="G422" s="87"/>
      <c r="H422" s="84"/>
    </row>
    <row r="423" spans="1:8" ht="12.75" customHeight="1">
      <c r="A423" s="78"/>
      <c r="B423" s="85"/>
      <c r="C423" s="62" t="str">
        <f>+'Cost of Salesa Expenses'!A318</f>
        <v>6721 - ລາຍ​ຈ່າຍ​ຈາກ​ໄພພິບັດ​ທຳ​ມະ​ຊາດ</v>
      </c>
      <c r="D423" s="62" t="str">
        <f>+'Cost of Salesa Expenses'!B318</f>
        <v>6721 - Expenses from natural disasters</v>
      </c>
      <c r="E423" s="86"/>
      <c r="F423" s="86"/>
      <c r="G423" s="87"/>
      <c r="H423" s="84"/>
    </row>
    <row r="424" spans="1:8" ht="12.75" customHeight="1">
      <c r="A424" s="78"/>
      <c r="B424" s="85"/>
      <c r="C424" s="62" t="str">
        <f>+'Cost of Salesa Expenses'!A319</f>
        <v>673 - ຂາດ​ທຶນ​ຈາກ​ການ​ຕີ​ມູນ​ຄ່າ (ຊັບ​ສິນ-ໜີ້​ສິນ) ທີ່​ເປັນ​ເງິນ​ຕາ​ຕ່າງ​ປະ​ເທດ</v>
      </c>
      <c r="D424" s="62" t="str">
        <f>+'Cost of Salesa Expenses'!B319</f>
        <v>673 - Lack of funds due to valuation (assets-liabilities) in foreign currency</v>
      </c>
      <c r="E424" s="86"/>
      <c r="F424" s="86"/>
      <c r="G424" s="87"/>
      <c r="H424" s="84"/>
    </row>
    <row r="425" spans="1:8" ht="12.75" customHeight="1">
      <c r="A425" s="78"/>
      <c r="B425" s="85"/>
      <c r="C425" s="62" t="str">
        <f>+'Cost of Salesa Expenses'!A320</f>
        <v>6731 - ຂາດ​ທຶນ​ຈາກ​ການ​ຕີ​ມູນ​ຄ່າ (ຊັບ​ສິນ-ໜີ້​ສິນ) ທີ່​ເປັນ​ເງິນ​ຕາ​ຕ່າງ​ປະ​ເທດ</v>
      </c>
      <c r="D425" s="62" t="str">
        <f>+'Cost of Salesa Expenses'!B320</f>
        <v>6731 - Lack of funds due to valuation (assets-liabilities) in foreign currency</v>
      </c>
      <c r="E425" s="86"/>
      <c r="F425" s="86"/>
      <c r="G425" s="87"/>
      <c r="H425" s="84"/>
    </row>
    <row r="426" spans="1:8" ht="12.75" customHeight="1">
      <c r="A426" s="78"/>
      <c r="B426" s="85"/>
      <c r="C426" s="62" t="str">
        <f>+'Cost of Salesa Expenses'!A321</f>
        <v>674 - ຜິດ​ດ່ຽງ​ຈາກ​ການ​ຕີ​ມູນ​ຄ່າ ຊັບ​ສົມ​ບັດ​ຄົງ​ທີ່ ຄືນ​ໃໝ່ຫຼຸດ​ລົງ</v>
      </c>
      <c r="D426" s="62" t="str">
        <f>+'Cost of Salesa Expenses'!B321</f>
        <v>674 - Deviation from revaluing fixed assets to decrease</v>
      </c>
      <c r="E426" s="86"/>
      <c r="F426" s="86"/>
      <c r="G426" s="87"/>
      <c r="H426" s="84"/>
    </row>
    <row r="427" spans="1:8" ht="12.75" customHeight="1">
      <c r="A427" s="78"/>
      <c r="B427" s="85"/>
      <c r="C427" s="62" t="str">
        <f>+'Cost of Salesa Expenses'!A322</f>
        <v>6741 - ຜິດ​ດ່ຽງ​ຈາກ​ການ​ຕີ​ມູນ​ຄ່າ ຊັບ​ສົມ​ບັດ​ຄົງ​ທີ່ ຄືນ​ໃໝ່ຫຼຸດ​ລົງ</v>
      </c>
      <c r="D427" s="62" t="str">
        <f>+'Cost of Salesa Expenses'!B322</f>
        <v>6741 - Deviation from revaluation of fixed assets.</v>
      </c>
      <c r="E427" s="86"/>
      <c r="F427" s="86"/>
      <c r="G427" s="87"/>
      <c r="H427" s="84"/>
    </row>
    <row r="428" spans="1:8" ht="12.75" customHeight="1">
      <c r="A428" s="78"/>
      <c r="B428" s="85"/>
      <c r="C428" s="62" t="str">
        <f>+'Cost of Salesa Expenses'!A323</f>
        <v>6741.01 - ຜິດ​ດ່ຽງ​ຈາກ​ການ​ຕີ​ມູນ​ຄ່າ ຊັບ​ສົມ​ບັດ​ຄົງ​ທີ່ ຄືນ​ໃໝ່ຫຼຸດ​ລົງ</v>
      </c>
      <c r="D428" s="62" t="str">
        <f>+'Cost of Salesa Expenses'!B323</f>
        <v>6741.01 - Deviation from revaluing fixed assets</v>
      </c>
      <c r="E428" s="86"/>
      <c r="F428" s="86"/>
      <c r="G428" s="87"/>
      <c r="H428" s="84"/>
    </row>
    <row r="429" spans="1:8" ht="12.75" customHeight="1">
      <c r="A429" s="78"/>
      <c r="B429" s="85"/>
      <c r="C429" s="62" t="str">
        <f>+'Cost of Salesa Expenses'!A324</f>
        <v>675 - ຂາດ​ທຶນ​ຈາກ​ການ​ຊຳ​ລະ​ສະ​ສາງ ຫຼື ການ​ຄວບ ບໍ​ລິ​ສັດ</v>
      </c>
      <c r="D429" s="62" t="str">
        <f>+'Cost of Salesa Expenses'!B324</f>
        <v>675 - Lack of capital from liquidation or company control</v>
      </c>
      <c r="E429" s="86"/>
      <c r="F429" s="86"/>
      <c r="G429" s="87"/>
      <c r="H429" s="84"/>
    </row>
    <row r="430" spans="1:8" ht="12.75" customHeight="1">
      <c r="A430" s="78"/>
      <c r="B430" s="85"/>
      <c r="C430" s="62" t="str">
        <f>+'Cost of Salesa Expenses'!A325</f>
        <v>6751 - ຂາດ​ທຶນ​ຈາກ​ການ​ຊຳ​ລະ​ສະ​ສາງ ຫຼື ການ​ຄວບ ບໍ​ລິ​ສັດ</v>
      </c>
      <c r="D430" s="62" t="str">
        <f>+'Cost of Salesa Expenses'!B325</f>
        <v>6751 - Lack of funds from liquidation or company control</v>
      </c>
      <c r="E430" s="86"/>
      <c r="F430" s="86"/>
      <c r="G430" s="87"/>
      <c r="H430" s="84"/>
    </row>
    <row r="431" spans="1:8" ht="12.75" customHeight="1">
      <c r="A431" s="78"/>
      <c r="B431" s="85"/>
      <c r="C431" s="62" t="str">
        <f>+'Cost of Salesa Expenses'!A326</f>
        <v>678 - ລາຍ​ຈ່າຍ​ສັງ​ລວມ​ອື່ນໆ ຫຼັງ​ອາ​ກອນ</v>
      </c>
      <c r="D431" s="62" t="str">
        <f>+'Cost of Salesa Expenses'!B326</f>
        <v>678 - Other comprehensive expenses after tax</v>
      </c>
      <c r="E431" s="86"/>
      <c r="F431" s="86"/>
      <c r="G431" s="87"/>
      <c r="H431" s="84"/>
    </row>
    <row r="432" spans="1:8" ht="12.75" customHeight="1">
      <c r="A432" s="78"/>
      <c r="B432" s="85"/>
      <c r="C432" s="62" t="str">
        <f>+'Cost of Salesa Expenses'!A327</f>
        <v>6781 - ​ສ່ວນ​ຫຼຸດ ​ຈາກ​ລາຍ​ການ​ດັດ​ແກ້ການ​ຮັບ​ຮອງ​ນຳ​ໃຊ້​ຄັ້ງ​ທຳ​ອິດ</v>
      </c>
      <c r="D432" s="62" t="str">
        <f>+'Cost of Salesa Expenses'!B327</f>
        <v>6781 - Discounts from first-time certification modification items</v>
      </c>
      <c r="E432" s="86"/>
      <c r="F432" s="86"/>
      <c r="G432" s="87"/>
      <c r="H432" s="84"/>
    </row>
    <row r="433" spans="1:8" ht="12.75" customHeight="1">
      <c r="A433" s="78"/>
      <c r="B433" s="85"/>
      <c r="C433" s="62" t="str">
        <f>+'Cost of Salesa Expenses'!A328</f>
        <v>6782 - ສ່ວນ​ຫຼຸດ ຈາກ​ການ​ປ່ຽນ​ແປງ​ນະ​ໂຍ​ບາຍ​ດ້ານ​ບັນ​ຊີ</v>
      </c>
      <c r="D433" s="62" t="str">
        <f>+'Cost of Salesa Expenses'!B328</f>
        <v>6782 - Discount from changes in accounting policies</v>
      </c>
      <c r="E433" s="86"/>
      <c r="F433" s="86"/>
      <c r="G433" s="87"/>
      <c r="H433" s="84"/>
    </row>
    <row r="434" spans="1:8" ht="12.75" customHeight="1">
      <c r="A434" s="78"/>
      <c r="B434" s="85"/>
      <c r="C434" s="62" t="str">
        <f>+'Cost of Salesa Expenses'!A329</f>
        <v>6783 - ສ່ວນ​ຫຼຸດ ​ຈາກ​ການ​ແກ້​ໄຂ​ຂໍ້​ຜິດ​ພາດ​ດ້ານ​ບັນ​ຊີ</v>
      </c>
      <c r="D434" s="62" t="str">
        <f>+'Cost of Salesa Expenses'!B329</f>
        <v>6783 - Discount from correcting accounting errors</v>
      </c>
      <c r="E434" s="86"/>
      <c r="F434" s="86"/>
      <c r="G434" s="87"/>
      <c r="H434" s="84"/>
    </row>
    <row r="435" spans="1:8" ht="12.75" customHeight="1">
      <c r="A435" s="78"/>
      <c r="B435" s="85"/>
      <c r="C435" s="62" t="str">
        <f>+'Cost of Salesa Expenses'!A330</f>
        <v>6788 - ​​ລາຍ​ຈ່າຍ​ສັງ​ລວມອື່ນໆ</v>
      </c>
      <c r="D435" s="62" t="str">
        <f>+'Cost of Salesa Expenses'!B330</f>
        <v>6788 - Other general expenses</v>
      </c>
      <c r="E435" s="86"/>
      <c r="F435" s="86"/>
      <c r="G435" s="87"/>
      <c r="H435" s="84"/>
    </row>
    <row r="436" spans="1:8" ht="12.75" customHeight="1">
      <c r="A436" s="78"/>
      <c r="B436" s="85"/>
      <c r="C436" s="62" t="str">
        <f>+'Cost of Salesa Expenses'!A331</f>
        <v>68 - ຫັກ​ຄ່າ​ຫຼຸ້ຍຫ້ຽນ, ຄ່າ​ສູນ​ເສຍ​ມູນ​ຄ່າ, ​ເງິນ​ແຮ</v>
      </c>
      <c r="D436" s="62" t="str">
        <f>+'Cost of Salesa Expenses'!B331</f>
        <v>68 - Deduction of depreciation, loss of value, money</v>
      </c>
      <c r="E436" s="86"/>
      <c r="F436" s="86"/>
      <c r="G436" s="87"/>
      <c r="H436" s="84"/>
    </row>
    <row r="437" spans="1:8" ht="12.75" customHeight="1">
      <c r="A437" s="78"/>
      <c r="B437" s="85"/>
      <c r="C437" s="62" t="str">
        <f>+'Cost of Salesa Expenses'!A332</f>
        <v>681 - ຫັກຄ່າໃຊ້ຈ່າຍ ບ້ວງຊັບສົມບັດຄົງທີ່ ການເງິນ</v>
      </c>
      <c r="D437" s="62" t="str">
        <f>+'Cost of Salesa Expenses'!B332</f>
        <v>681 - Deducting the cost of fixed financial assets</v>
      </c>
      <c r="E437" s="86"/>
      <c r="F437" s="86"/>
      <c r="G437" s="87"/>
      <c r="H437" s="84"/>
    </row>
    <row r="438" spans="1:8" ht="12.75" customHeight="1">
      <c r="A438" s="78"/>
      <c r="B438" s="99"/>
      <c r="C438" s="62" t="str">
        <f>+'Cost of Salesa Expenses'!A333</f>
        <v>6811 - ຫັກຄ່າໃຊ້ຈ່າຍ ບ້ວງຊັບສົມບັດຄົງທີ່ ການເງິນ</v>
      </c>
      <c r="D438" s="62" t="str">
        <f>+'Cost of Salesa Expenses'!B333</f>
        <v>6811 - Deduct the cost of fixed assets and finance</v>
      </c>
      <c r="E438" s="101"/>
      <c r="F438" s="101"/>
      <c r="G438" s="102"/>
      <c r="H438" s="84"/>
    </row>
    <row r="439" spans="1:8" ht="12.75" customHeight="1">
      <c r="A439" s="78"/>
      <c r="B439" s="99"/>
      <c r="C439" s="62" t="str">
        <f>+'Cost of Salesa Expenses'!A334</f>
        <v>682 - ຫັກ​ຄ່າ​ຫຼຸ້ຍ​ຫ້ຽນ ຊັບ​ສົມບັດ​ຄົງ​ທີ່ ມີ​ຕົວ​ຕົນ</v>
      </c>
      <c r="D439" s="62" t="str">
        <f>+'Cost of Salesa Expenses'!B334</f>
        <v>682 - Deducting depreciation on tangible fixed assets</v>
      </c>
      <c r="E439" s="101"/>
      <c r="F439" s="101"/>
      <c r="G439" s="102"/>
      <c r="H439" s="84"/>
    </row>
    <row r="440" spans="1:8" ht="12.75" customHeight="1">
      <c r="A440" s="78"/>
      <c r="B440" s="99"/>
      <c r="C440" s="62" t="str">
        <f>+'Cost of Salesa Expenses'!A335</f>
        <v>6820 - ຄ່າຫຼຸ້ຍຫ້ຽນ ເຄື່ອງໃຊ້ຫ້ອງການ</v>
      </c>
      <c r="D440" s="62" t="str">
        <f>+'Cost of Salesa Expenses'!B335</f>
        <v>6820 - Fees for office supplies</v>
      </c>
      <c r="E440" s="101"/>
      <c r="F440" s="101"/>
      <c r="G440" s="102"/>
      <c r="H440" s="84"/>
    </row>
    <row r="441" spans="1:8" ht="12.75" customHeight="1">
      <c r="A441" s="78"/>
      <c r="B441" s="99"/>
      <c r="C441" s="62" t="str">
        <f>+'Cost of Salesa Expenses'!A336</f>
        <v>6820.01 - ຄ່າຫຼຸ້ຍຫ້ຽນ ເຟີ​ນີ​ເຈີ - ຕົ້ນທຶນການບໍລິການ</v>
      </c>
      <c r="D441" s="62" t="str">
        <f>+'Cost of Salesa Expenses'!B336</f>
        <v>6820.01 - Furniture cost - Service cost</v>
      </c>
      <c r="E441" s="101"/>
      <c r="F441" s="101"/>
      <c r="G441" s="102"/>
      <c r="H441" s="84"/>
    </row>
    <row r="442" spans="1:8" ht="12.75" customHeight="1">
      <c r="A442" s="78"/>
      <c r="B442" s="99"/>
      <c r="C442" s="62" t="str">
        <f>+'Cost of Salesa Expenses'!A337</f>
        <v>6820.02 - ຄ່າຫຼຸ້ຍຫ້ຽນ ເຟີ​ນີ​ເຈີ - ຄ່າໃຊ້ຈ່າຍການຂາຍການບໍລິການ</v>
      </c>
      <c r="D442" s="62" t="str">
        <f>+'Cost of Salesa Expenses'!B337</f>
        <v>6820.02 - Furnishings - Cost of selling services</v>
      </c>
      <c r="E442" s="101"/>
      <c r="F442" s="101"/>
      <c r="G442" s="102"/>
      <c r="H442" s="84"/>
    </row>
    <row r="443" spans="1:8" ht="12.75" customHeight="1">
      <c r="A443" s="78"/>
      <c r="B443" s="99"/>
      <c r="C443" s="62" t="str">
        <f>+'Cost of Salesa Expenses'!A338</f>
        <v>6820.03 - ຄ່າຫຼຸ້ຍຫ້ຽນ ເຟີ​ນີ​ເຈີ - ຄ່າໃຊ້ຈ່າຍບໍລິຫານ</v>
      </c>
      <c r="D443" s="62" t="str">
        <f>+'Cost of Salesa Expenses'!B338</f>
        <v>6820.03 - Furniture costs - Administrative expenses</v>
      </c>
      <c r="E443" s="101"/>
      <c r="F443" s="101"/>
      <c r="G443" s="102"/>
      <c r="H443" s="84"/>
    </row>
    <row r="444" spans="1:8" ht="12.75" customHeight="1">
      <c r="A444" s="78"/>
      <c r="B444" s="99"/>
      <c r="C444" s="62" t="str">
        <f>+'Cost of Salesa Expenses'!A339</f>
        <v>6821 - ຄ່າຫຼຸ້ຍຫ້ຽນ ອຸ​ປະ​ກອນ​ສຳ​ນັກ​ງານ</v>
      </c>
      <c r="D444" s="62" t="str">
        <f>+'Cost of Salesa Expenses'!B339</f>
        <v>6821 - Cost of office equipment</v>
      </c>
      <c r="E444" s="101"/>
      <c r="F444" s="101"/>
      <c r="G444" s="102"/>
      <c r="H444" s="84"/>
    </row>
    <row r="445" spans="1:8" ht="12.75" customHeight="1">
      <c r="A445" s="78"/>
      <c r="B445" s="99"/>
      <c r="C445" s="62" t="str">
        <f>+'Cost of Salesa Expenses'!A340</f>
        <v>6821.01 - ຄ່າຫຼຸ້ຍຫ້ຽນ ອຸ​ປະ​ກອນ​ສຳ​ນັກ​ງານ  - ຕົ້ນທຶນການບໍລິການ</v>
      </c>
      <c r="D445" s="62" t="str">
        <f>+'Cost of Salesa Expenses'!B340</f>
        <v>6821.01 - Cost of office equipment - Service cost</v>
      </c>
      <c r="E445" s="101"/>
      <c r="F445" s="101"/>
      <c r="G445" s="102"/>
      <c r="H445" s="84"/>
    </row>
    <row r="446" spans="1:8" ht="12.75" customHeight="1">
      <c r="A446" s="78"/>
      <c r="B446" s="99"/>
      <c r="C446" s="62" t="str">
        <f>+'Cost of Salesa Expenses'!A341</f>
        <v>6821.02 - ຄ່າຫຼຸ້ຍຫ້ຽນ ອຸ​ປະ​ກອນ​ສຳ​ນັກ​ງານ - ຄ່າໃຊ້ຈ່າຍການຂາຍການບໍລິການ</v>
      </c>
      <c r="D446" s="62" t="str">
        <f>+'Cost of Salesa Expenses'!B341</f>
        <v>6821.02 - Cost of office equipment - Cost of selling services</v>
      </c>
      <c r="E446" s="101"/>
      <c r="F446" s="101"/>
      <c r="G446" s="102"/>
      <c r="H446" s="84"/>
    </row>
    <row r="447" spans="1:8" ht="12.75" customHeight="1">
      <c r="A447" s="78"/>
      <c r="B447" s="99"/>
      <c r="C447" s="62" t="str">
        <f>+'Cost of Salesa Expenses'!A342</f>
        <v>6821.03 - ຄ່າຫຼຸ້ຍຫ້ຽນ ອຸ​ປະ​ກອນ​ສຳ​ນັກ​ງານ - ຄ່າໃຊ້ຈ່າຍບໍລິຫານ</v>
      </c>
      <c r="D447" s="62" t="str">
        <f>+'Cost of Salesa Expenses'!B342</f>
        <v>6821.03 - Cost of office equipment - Administrative expenses</v>
      </c>
      <c r="E447" s="101"/>
      <c r="F447" s="101"/>
      <c r="G447" s="102"/>
      <c r="H447" s="84"/>
    </row>
    <row r="448" spans="1:8" ht="12.75" customHeight="1">
      <c r="A448" s="78"/>
      <c r="B448" s="99"/>
      <c r="C448" s="62" t="str">
        <f>+'Cost of Salesa Expenses'!A343</f>
        <v>6822 - ຄ່າຫຼຸ້ຍຫ້ຽນ ອາຄານ, ສິ່ງປຸກສ້າງ</v>
      </c>
      <c r="D448" s="62" t="str">
        <f>+'Cost of Salesa Expenses'!B343</f>
        <v>6822 - Cost of building, construction materials</v>
      </c>
      <c r="E448" s="101"/>
      <c r="F448" s="101"/>
      <c r="G448" s="102"/>
      <c r="H448" s="84"/>
    </row>
    <row r="449" spans="1:8" ht="12.75" customHeight="1">
      <c r="A449" s="78"/>
      <c r="B449" s="99"/>
      <c r="C449" s="62" t="str">
        <f>+'Cost of Salesa Expenses'!A344</f>
        <v>6822.01 - ຄ່າຫຼຸ້ຍຫ້ຽນ ອາຄານ, ສິ່ງປຸກສ້າງ  - ຕົ້ນທຶນການບໍລິການ</v>
      </c>
      <c r="D449" s="62" t="str">
        <f>+'Cost of Salesa Expenses'!B344</f>
        <v>6822.01 - Cost of buildings, construction materials - Service cost</v>
      </c>
      <c r="E449" s="101"/>
      <c r="F449" s="101"/>
      <c r="G449" s="102"/>
      <c r="H449" s="84"/>
    </row>
    <row r="450" spans="1:8" ht="12.75" customHeight="1">
      <c r="A450" s="78"/>
      <c r="B450" s="99"/>
      <c r="C450" s="62" t="str">
        <f>+'Cost of Salesa Expenses'!A346</f>
        <v>6822.03 - ຄ່າຫຼຸ້ຍຫ້ຽນ ອາຄານ,ສິ່ງປຸກສ້າງ  - ຄ່າໃຊ້ຈ່າຍບໍລິຫານ</v>
      </c>
      <c r="D450" s="62" t="str">
        <f>+'Cost of Salesa Expenses'!B346</f>
        <v>6822.03 - Costs for maintenance of buildings, constructions - Administrative expenses</v>
      </c>
      <c r="E450" s="101"/>
      <c r="F450" s="101"/>
      <c r="G450" s="102"/>
      <c r="H450" s="84"/>
    </row>
    <row r="451" spans="1:8" ht="12.75" customHeight="1">
      <c r="A451" s="78"/>
      <c r="B451" s="99"/>
      <c r="C451" s="62" t="str">
        <f>+'Cost of Salesa Expenses'!A348</f>
        <v>6823.01 - ຄ່າຫຼຸ້ຍຫ້ຽນ ອຸປະກອນ ເຄື່ອງຈັກ - ຕົ້ນທຶນການບໍລິການ</v>
      </c>
      <c r="D451" s="62" t="str">
        <f>+'Cost of Salesa Expenses'!B348</f>
        <v>6823.01 - Cost of equipment, machinery - cost of service</v>
      </c>
      <c r="E451" s="101"/>
      <c r="F451" s="101"/>
      <c r="G451" s="102"/>
      <c r="H451" s="84"/>
    </row>
    <row r="452" spans="1:8" ht="12.75" customHeight="1">
      <c r="A452" s="78"/>
      <c r="B452" s="99"/>
      <c r="C452" s="62" t="str">
        <f>+'Cost of Salesa Expenses'!A350</f>
        <v>6823.03 - ຄ່າຫຼຸ້ຍຫ້ຽນ ອຸປະກອນ ເຄື່ອງຈັກ - ຄ່າໃຊ້ຈ່າຍບໍລິຫານ</v>
      </c>
      <c r="D452" s="62" t="str">
        <f>+'Cost of Salesa Expenses'!B350</f>
        <v>6823.03 - Equipment, machinery - Administrative expenses</v>
      </c>
      <c r="E452" s="101"/>
      <c r="F452" s="101"/>
      <c r="G452" s="102"/>
      <c r="H452" s="84"/>
    </row>
    <row r="453" spans="1:8" ht="12.75" customHeight="1">
      <c r="A453" s="78"/>
      <c r="B453" s="99"/>
      <c r="C453" s="62" t="str">
        <f>+'Cost of Salesa Expenses'!A352</f>
        <v>6824.01 - ຄ່າຫຼຸ້ຍຫ້ຽນ ພາຫະນະ - ຕົ້ນທຶນການບໍລິການ</v>
      </c>
      <c r="D453" s="62" t="str">
        <f>+'Cost of Salesa Expenses'!B352</f>
        <v>6824.01 - Vehicle maintenance cost - Service cost</v>
      </c>
      <c r="E453" s="101"/>
      <c r="F453" s="101"/>
      <c r="G453" s="102"/>
      <c r="H453" s="84"/>
    </row>
    <row r="454" spans="1:8" ht="12.75" customHeight="1">
      <c r="A454" s="78"/>
      <c r="B454" s="99"/>
      <c r="C454" s="62" t="str">
        <f>+'Cost of Salesa Expenses'!A354</f>
        <v>6824.03 - ຄ່າຫຼຸ້ຍຫ້ຽນ ພາຫະນະ - ຄ່າໃຊ້ຈ່າຍບໍລິຫານ</v>
      </c>
      <c r="D454" s="62" t="str">
        <f>+'Cost of Salesa Expenses'!B354</f>
        <v>6824.03 - Vehicle maintenance fee - Administrative expenses</v>
      </c>
      <c r="E454" s="101"/>
      <c r="F454" s="101"/>
      <c r="G454" s="102"/>
      <c r="H454" s="84"/>
    </row>
    <row r="455" spans="1:8" ht="12.75" customHeight="1">
      <c r="A455" s="78"/>
      <c r="B455" s="99"/>
      <c r="C455" s="62" t="str">
        <f>+'Cost of Salesa Expenses'!A355</f>
        <v>6825 - ຄ່າຫຼຸ້ຍຫ້ຽນ ຊຄທ ທົດແທນກັນໄດ້</v>
      </c>
      <c r="D455" s="62" t="str">
        <f>+'Cost of Salesa Expenses'!B355</f>
        <v>6825 - The cost of the property can be replaced</v>
      </c>
      <c r="E455" s="101"/>
      <c r="F455" s="101"/>
      <c r="G455" s="102"/>
      <c r="H455" s="84"/>
    </row>
    <row r="456" spans="1:8" ht="12.75" customHeight="1">
      <c r="A456" s="78"/>
      <c r="B456" s="99"/>
      <c r="C456" s="62" t="str">
        <f>+'Cost of Salesa Expenses'!A356</f>
        <v>6825.01 - ຄ່າຫຼຸ້ຍຫ້ຽນ ຊຄທ ທົດແທນກັນໄດ້ - ຕົ້ນທຶນການບໍລິການ</v>
      </c>
      <c r="D456" s="62" t="str">
        <f>+'Cost of Salesa Expenses'!B356</f>
        <v>6825.01 - The replacement cost of Lui Hien SCT - Service cost</v>
      </c>
      <c r="E456" s="101"/>
      <c r="F456" s="101"/>
      <c r="G456" s="102"/>
      <c r="H456" s="84"/>
    </row>
    <row r="457" spans="1:8" ht="12.75" customHeight="1">
      <c r="A457" s="78"/>
      <c r="B457" s="99"/>
      <c r="C457" s="62" t="str">
        <f>+'Cost of Salesa Expenses'!A357</f>
        <v>6825.02 - ຄ່າຫຼຸ້ຍຫ້ຽນ ຊຄທ ທົດແທນກັນໄດ້ - ຄ່າໃຊ້ຈ່າຍການຂາຍການບໍລິການ</v>
      </c>
      <c r="D457" s="62" t="str">
        <f>+'Cost of Salesa Expenses'!B357</f>
        <v>6825.02 - The cost of selling services</v>
      </c>
      <c r="E457" s="101"/>
      <c r="F457" s="101"/>
      <c r="G457" s="102"/>
      <c r="H457" s="84"/>
    </row>
    <row r="458" spans="1:8" ht="12.75" customHeight="1">
      <c r="A458" s="78"/>
      <c r="B458" s="99"/>
      <c r="C458" s="62" t="str">
        <f>+'Cost of Salesa Expenses'!A358</f>
        <v>6825.03 - ຄ່າຫຼຸ້ຍຫ້ຽນ ຊຄທ ທົດແທນກັນໄດ້ - ຄ່າໃຊ້ຈ່າຍບໍລິຫານ</v>
      </c>
      <c r="D458" s="62" t="str">
        <f>+'Cost of Salesa Expenses'!B358</f>
        <v>6825.03 - The replacement cost of the company - Administrative expenses</v>
      </c>
      <c r="E458" s="101"/>
      <c r="F458" s="101"/>
      <c r="G458" s="102"/>
      <c r="H458" s="84"/>
    </row>
    <row r="459" spans="1:8" ht="12.75" customHeight="1">
      <c r="A459" s="78"/>
      <c r="B459" s="99"/>
      <c r="C459" s="62" t="str">
        <f>+'Cost of Salesa Expenses'!A359</f>
        <v>6828 - ຄ່າຫຼຸ້ຍຫ້ຽນ ຊັບສົມບັດຄົງທີ ມີຕົວຕົນອື່ນໆ</v>
      </c>
      <c r="D459" s="62" t="str">
        <f>+'Cost of Salesa Expenses'!B359</f>
        <v>6828 - Fixed assets with other identities</v>
      </c>
      <c r="E459" s="101"/>
      <c r="F459" s="101"/>
      <c r="G459" s="102"/>
      <c r="H459" s="84"/>
    </row>
    <row r="460" spans="1:8" ht="12.75" customHeight="1" thickBot="1">
      <c r="A460" s="78"/>
      <c r="B460" s="71"/>
      <c r="C460" s="71"/>
      <c r="D460" s="62"/>
      <c r="E460" s="68"/>
      <c r="F460" s="68"/>
      <c r="G460" s="68"/>
      <c r="H460" s="74"/>
    </row>
    <row r="461" spans="1:8" ht="12.75" customHeight="1" thickTop="1">
      <c r="A461" s="78"/>
      <c r="B461" s="129" t="s">
        <v>1168</v>
      </c>
      <c r="C461" s="81"/>
      <c r="D461" s="81"/>
      <c r="E461" s="82"/>
      <c r="F461" s="82"/>
      <c r="G461" s="83"/>
      <c r="H461" s="84"/>
    </row>
    <row r="462" spans="1:8" ht="12.75" customHeight="1">
      <c r="A462" s="78"/>
      <c r="B462" s="85"/>
      <c r="C462" s="62" t="str">
        <f>+'Cost of Salesa Expenses'!A52</f>
        <v>6112 - ຈ້າງ​ທາງ​ນອກ​ ບໍລິການດ້ານ IT</v>
      </c>
      <c r="D462" s="62" t="str">
        <f>+'Cost of Salesa Expenses'!B52</f>
        <v>6112 - Outsourcing IT services</v>
      </c>
      <c r="E462" s="86">
        <v>-15000000</v>
      </c>
      <c r="F462" s="86"/>
      <c r="G462" s="87">
        <v>-15000000</v>
      </c>
      <c r="H462" s="84"/>
    </row>
    <row r="463" spans="1:8" ht="12.75" customHeight="1">
      <c r="A463" s="78"/>
      <c r="B463" s="85"/>
      <c r="C463" s="62" t="str">
        <f>+'Cost of Salesa Expenses'!A53</f>
        <v>6112.01 - ຈ້າງ​ທາງ​ນອກ​ ບໍລິການດ້ານ IT -ຕົ້ນທຶນການບໍລິການ</v>
      </c>
      <c r="D463" s="62" t="str">
        <f>+'Cost of Salesa Expenses'!B53</f>
        <v>6112.01 - Outsourced IT services - cost of services</v>
      </c>
      <c r="E463" s="86"/>
      <c r="F463" s="86"/>
      <c r="G463" s="87"/>
      <c r="H463" s="84"/>
    </row>
    <row r="464" spans="1:8" ht="12.75" customHeight="1">
      <c r="A464" s="78"/>
      <c r="B464" s="85"/>
      <c r="C464" s="62" t="str">
        <f>+'Cost of Salesa Expenses'!A54</f>
        <v>6112.02 - ຈ້າງ​ທາງ​ນອກ​ ບໍລິການດ້ານ IT -ຄ່າໃຊ້ຈ່າຍການຂາຍການບໍລິການ</v>
      </c>
      <c r="D464" s="62" t="str">
        <f>+'Cost of Salesa Expenses'!B54</f>
        <v>6112.02 - Outsourced IT services - Cost of selling services</v>
      </c>
      <c r="E464" s="86"/>
      <c r="F464" s="86"/>
      <c r="G464" s="87"/>
      <c r="H464" s="84"/>
    </row>
    <row r="465" spans="1:8" ht="12.75" customHeight="1">
      <c r="A465" s="78"/>
      <c r="B465" s="99"/>
      <c r="C465" s="62" t="str">
        <f>+'Cost of Salesa Expenses'!A55</f>
        <v>6112.03 - ຈ້າງ​ທາງ​ນອກ​ ບໍລິການດ້ານ IT​ - ຄ່າໃຊ້ຈ່າຍບໍລິຫານ</v>
      </c>
      <c r="D465" s="62" t="str">
        <f>+'Cost of Salesa Expenses'!B55</f>
        <v>6112.03 - Outsourced IT services - Administrative expenses</v>
      </c>
      <c r="E465" s="101"/>
      <c r="F465" s="101"/>
      <c r="G465" s="102"/>
      <c r="H465" s="84"/>
    </row>
    <row r="466" spans="1:8" ht="12.75" customHeight="1" thickBot="1">
      <c r="A466" s="78"/>
      <c r="B466" s="89"/>
      <c r="C466" s="90"/>
      <c r="D466" s="131"/>
      <c r="E466" s="91"/>
      <c r="F466" s="91"/>
      <c r="G466" s="92"/>
      <c r="H466" s="84"/>
    </row>
    <row r="467" spans="1:8" ht="12.75" customHeight="1" thickTop="1">
      <c r="A467" s="78"/>
      <c r="B467" s="132"/>
      <c r="C467" s="133"/>
      <c r="D467" s="133"/>
      <c r="E467" s="134"/>
      <c r="F467" s="134"/>
      <c r="G467" s="135"/>
      <c r="H467" s="84"/>
    </row>
    <row r="468" spans="1:8" ht="12.75" customHeight="1">
      <c r="A468" s="78"/>
      <c r="B468" s="64" t="s">
        <v>1169</v>
      </c>
      <c r="C468" s="62"/>
      <c r="D468" s="62"/>
      <c r="E468" s="86"/>
      <c r="F468" s="86"/>
      <c r="G468" s="87"/>
      <c r="H468" s="84"/>
    </row>
    <row r="469" spans="1:8" ht="12.75" customHeight="1">
      <c r="A469" s="78"/>
      <c r="B469" s="85"/>
      <c r="C469" s="62" t="str">
        <f>+'Cost of Salesa Expenses'!B192</f>
        <v>6272.03 - Bank fees for foreign transfers - Administrative expenses</v>
      </c>
      <c r="D469" s="62" t="str">
        <f>+'Cost of Salesa Expenses'!C192</f>
        <v>Foreign exchange (loss)/gain, net</v>
      </c>
      <c r="E469" s="86">
        <v>-15000000</v>
      </c>
      <c r="F469" s="86"/>
      <c r="G469" s="87">
        <v>-15000000</v>
      </c>
      <c r="H469" s="84"/>
    </row>
    <row r="470" spans="1:8" ht="12.75" customHeight="1" thickBot="1">
      <c r="A470" s="78"/>
      <c r="B470" s="89"/>
      <c r="C470" s="90"/>
      <c r="D470" s="90"/>
      <c r="E470" s="91"/>
      <c r="F470" s="91"/>
      <c r="G470" s="92"/>
      <c r="H470" s="84"/>
    </row>
    <row r="471" spans="1:8" ht="12.75" customHeight="1" thickTop="1">
      <c r="A471" s="78"/>
      <c r="B471" s="132"/>
      <c r="C471" s="133"/>
      <c r="D471" s="133"/>
      <c r="E471" s="134"/>
      <c r="F471" s="134"/>
      <c r="G471" s="135"/>
      <c r="H471" s="84"/>
    </row>
    <row r="472" spans="1:8" ht="12.75" customHeight="1">
      <c r="A472" s="78"/>
      <c r="B472" s="64" t="s">
        <v>1170</v>
      </c>
      <c r="C472" s="62"/>
      <c r="D472" s="62"/>
      <c r="E472" s="86"/>
      <c r="F472" s="86"/>
      <c r="G472" s="87"/>
      <c r="H472" s="84"/>
    </row>
    <row r="473" spans="1:8" ht="12.75" customHeight="1">
      <c r="A473" s="78"/>
      <c r="B473" s="85"/>
      <c r="C473" s="62" t="str">
        <f>+'Cost of Salesa Expenses'!A193</f>
        <v>628 - ​ຄ່າ​ບໍລິການອື່ນໆ</v>
      </c>
      <c r="D473" s="62" t="str">
        <f>+'Cost of Salesa Expenses'!B193</f>
        <v>628 - Other service charges</v>
      </c>
      <c r="E473" s="86">
        <v>-15000000</v>
      </c>
      <c r="F473" s="86"/>
      <c r="G473" s="87">
        <v>-15000000</v>
      </c>
      <c r="H473" s="84"/>
    </row>
    <row r="474" spans="1:8" ht="12.75" customHeight="1">
      <c r="A474" s="78"/>
      <c r="B474" s="85"/>
      <c r="C474" s="62" t="str">
        <f>+'Cost of Salesa Expenses'!A194</f>
        <v>6281 - ​ຄ່າ​ບໍລິການອື່ນໆ</v>
      </c>
      <c r="D474" s="62" t="str">
        <f>+'Cost of Salesa Expenses'!B194</f>
        <v>6281 - Other service charges</v>
      </c>
      <c r="E474" s="86"/>
      <c r="F474" s="86"/>
      <c r="G474" s="87"/>
      <c r="H474" s="84"/>
    </row>
    <row r="475" spans="1:8" ht="12.75" customHeight="1">
      <c r="A475" s="78"/>
      <c r="B475" s="85"/>
      <c r="C475" s="62" t="str">
        <f>+'Cost of Salesa Expenses'!A195</f>
        <v>6281.01 - ​ຄ່າ​ບໍລິການອື່ນໆ -ຕົ້ນທຶນການບໍລິການ</v>
      </c>
      <c r="D475" s="62" t="str">
        <f>+'Cost of Salesa Expenses'!B195</f>
        <v>6281.01 - Other service charges - Service cost</v>
      </c>
      <c r="E475" s="86"/>
      <c r="F475" s="86"/>
      <c r="G475" s="87"/>
      <c r="H475" s="84"/>
    </row>
    <row r="476" spans="1:8" ht="12.75" customHeight="1">
      <c r="A476" s="78"/>
      <c r="B476" s="85"/>
      <c r="C476" s="62" t="str">
        <f>+'Cost of Salesa Expenses'!A196</f>
        <v>6281.02 - ​ຄ່າ​ບໍລິການອື່ນໆ - ຄ່າໃຊ້ຈ່າຍການຂາຍການບໍລິການ</v>
      </c>
      <c r="D476" s="62" t="str">
        <f>+'Cost of Salesa Expenses'!B196</f>
        <v>6281.02 - Other service charges - Cost of selling services</v>
      </c>
      <c r="E476" s="86"/>
      <c r="F476" s="86"/>
      <c r="G476" s="87"/>
      <c r="H476" s="84"/>
    </row>
    <row r="477" spans="1:8" ht="12.75" customHeight="1">
      <c r="A477" s="78"/>
      <c r="B477" s="85"/>
      <c r="C477" s="62" t="str">
        <f>+'Cost of Salesa Expenses'!A197</f>
        <v>6281.03 - ​ຄ່າ​ບໍລິການອື່ນໆ - ຄ່າໃຊ້ຈ່າຍບໍລິຫານ</v>
      </c>
      <c r="D477" s="62" t="str">
        <f>+'Cost of Salesa Expenses'!B197</f>
        <v>6281.03 - Other service charges - Administrative expenses</v>
      </c>
      <c r="E477" s="86"/>
      <c r="F477" s="86"/>
      <c r="G477" s="87"/>
      <c r="H477" s="84"/>
    </row>
    <row r="478" spans="1:8" ht="12.75" customHeight="1">
      <c r="A478" s="78"/>
      <c r="B478" s="85"/>
      <c r="C478" s="62" t="str">
        <f>+'Cost of Salesa Expenses'!A198</f>
        <v>629 - ສ່ວນ​ຫຼຸດ​ຕ່າງໆ ທີ່​ໄດ້​ຮັບ​ໃນ​ການ​ບໍລິການອື່ນໆຈາ​ກທາງ​ນອກ​</v>
      </c>
      <c r="D478" s="62" t="str">
        <f>+'Cost of Salesa Expenses'!B198</f>
        <v>629 - Various discounts received in other services from outside</v>
      </c>
      <c r="E478" s="86"/>
      <c r="F478" s="86"/>
      <c r="G478" s="87"/>
      <c r="H478" s="84"/>
    </row>
    <row r="479" spans="1:8" ht="12.75" customHeight="1">
      <c r="A479" s="78"/>
      <c r="B479" s="85"/>
      <c r="C479" s="62" t="str">
        <f>+'Cost of Salesa Expenses'!A199</f>
        <v>6291 - ສ່ວນ​ຫຼຸດ​ຕ່າງໆ ທີ່​ໄດ້​ຮັບ​ໃນ​ການ​ບໍລິການອື່ນໆຈາ​ກທາງ​ນອກ​</v>
      </c>
      <c r="D479" s="62" t="str">
        <f>+'Cost of Salesa Expenses'!B199</f>
        <v>6291 - Various discounts received in other services from outside</v>
      </c>
      <c r="E479" s="86"/>
      <c r="F479" s="86"/>
      <c r="G479" s="87"/>
      <c r="H479" s="84"/>
    </row>
    <row r="480" spans="1:8" ht="12.75" customHeight="1">
      <c r="A480" s="78"/>
      <c r="B480" s="85"/>
      <c r="C480" s="62" t="str">
        <f>+'Cost of Salesa Expenses'!A200</f>
        <v>6291.01 - ສ່ວນ​ຫຼຸດ​ຕ່າງໆ ທີ່​ໄດ້​ຮັບ​ໃນ​ການ​ບໍລິການອື່ນໆຈາ​ກທາງ​ນອກ​ -ຕົ້ນທຶນການບໍລິການ</v>
      </c>
      <c r="D480" s="62" t="str">
        <f>+'Cost of Salesa Expenses'!B200</f>
        <v>6291.01 - Various discounts received in other services from outside - Service cos</v>
      </c>
      <c r="E480" s="86"/>
      <c r="F480" s="86"/>
      <c r="G480" s="87"/>
      <c r="H480" s="84"/>
    </row>
    <row r="481" spans="1:8" ht="12.75" customHeight="1">
      <c r="A481" s="78"/>
      <c r="B481" s="85"/>
      <c r="C481" s="62" t="str">
        <f>+'Cost of Salesa Expenses'!A201</f>
        <v>6291.02 - ສ່ວນ​ຫຼຸດ​ຕ່າງໆ ທີ່​ໄດ້​ຮັບ​ໃນ​ການ​ບໍລິການອື່ນໆຈາ​ກທາງ​ນອກ​ - ຄ່າໃຊ້ຈ່າຍການຂາຍການບໍລິການ</v>
      </c>
      <c r="D481" s="62" t="str">
        <f>+'Cost of Salesa Expenses'!B201</f>
        <v>6291.02 - Various discounts received on other services from outside - Cost of selling services</v>
      </c>
      <c r="E481" s="86"/>
      <c r="F481" s="86"/>
      <c r="G481" s="87"/>
      <c r="H481" s="84"/>
    </row>
    <row r="482" spans="1:8" ht="12.75" customHeight="1">
      <c r="A482" s="78"/>
      <c r="B482" s="85"/>
      <c r="C482" s="62" t="str">
        <f>+'Cost of Salesa Expenses'!A202</f>
        <v>6291.03 - ສ່ວນ​ຫຼຸດ​ຕ່າງໆ ທີ່​ໄດ້​ຮັບ​ໃນ​ການ​ບໍລິການອື່ນໆຈາ​ກທາງ​ນອກ​ - ຄ່າໃຊ້ຈ່າຍບໍລິຫານ</v>
      </c>
      <c r="D482" s="62" t="str">
        <f>+'Cost of Salesa Expenses'!B202</f>
        <v>6291.03 - Discounts received on other services from outside - Administrative expenses</v>
      </c>
      <c r="E482" s="86"/>
      <c r="F482" s="86"/>
      <c r="G482" s="87"/>
      <c r="H482" s="84"/>
    </row>
    <row r="483" spans="1:8" ht="12.75" customHeight="1" thickBot="1">
      <c r="A483" s="78"/>
      <c r="B483" s="89"/>
      <c r="C483" s="90"/>
      <c r="D483" s="90"/>
      <c r="E483" s="91"/>
      <c r="F483" s="91"/>
      <c r="G483" s="92"/>
      <c r="H483" s="84"/>
    </row>
    <row r="484" spans="1:8" ht="12.75" customHeight="1" thickTop="1">
      <c r="A484" s="78"/>
      <c r="B484" s="80"/>
      <c r="C484" s="81"/>
      <c r="D484" s="81"/>
      <c r="E484" s="82"/>
      <c r="F484" s="82"/>
      <c r="G484" s="83"/>
      <c r="H484" s="84"/>
    </row>
    <row r="485" spans="1:8" ht="12.75" customHeight="1">
      <c r="A485" s="78"/>
      <c r="B485" s="64" t="s">
        <v>1171</v>
      </c>
      <c r="C485" s="62"/>
      <c r="D485" s="62"/>
      <c r="E485" s="86">
        <v>-15000000</v>
      </c>
      <c r="F485" s="86"/>
      <c r="G485" s="87">
        <v>-15000000</v>
      </c>
      <c r="H485" s="84"/>
    </row>
    <row r="486" spans="1:8" ht="12.75" customHeight="1">
      <c r="A486" s="78"/>
      <c r="B486" s="85"/>
      <c r="C486" s="62" t="str">
        <f>+'Cost of Salesa Expenses'!A256</f>
        <v>64 - ຄ່າ​ພາ​ສີ-ອາກອນ, ຄ່າ​ທຳນຽມ ​ແລະ ອື່ນໆ ປະ​ເພດ​ດຽວ​ກັນ</v>
      </c>
      <c r="D486" s="62" t="str">
        <f>+'Cost of Salesa Expenses'!B256</f>
        <v>64 - Taxes, fees, etc. of the same type</v>
      </c>
      <c r="E486" s="86"/>
      <c r="F486" s="86"/>
      <c r="G486" s="87"/>
      <c r="H486" s="84"/>
    </row>
    <row r="487" spans="1:8" ht="12.75" customHeight="1">
      <c r="A487" s="78"/>
      <c r="B487" s="85"/>
      <c r="C487" s="62" t="str">
        <f>+'Cost of Salesa Expenses'!A257</f>
        <v>641 - ພາສີຂາເຂົ້າ</v>
      </c>
      <c r="D487" s="62" t="str">
        <f>+'Cost of Salesa Expenses'!B257</f>
        <v>641 - Import tax</v>
      </c>
      <c r="E487" s="86"/>
      <c r="F487" s="86"/>
      <c r="G487" s="87"/>
      <c r="H487" s="84"/>
    </row>
    <row r="488" spans="1:8" ht="12.75" customHeight="1">
      <c r="A488" s="78"/>
      <c r="B488" s="85"/>
      <c r="C488" s="62" t="str">
        <f>+'Cost of Salesa Expenses'!A258</f>
        <v>6411 - ພາສີຂາເຂົ້າ</v>
      </c>
      <c r="D488" s="62" t="str">
        <f>+'Cost of Salesa Expenses'!B258</f>
        <v>6411 - Import tax</v>
      </c>
      <c r="E488" s="86"/>
      <c r="F488" s="86"/>
      <c r="G488" s="87"/>
      <c r="H488" s="84"/>
    </row>
    <row r="489" spans="1:8" ht="12.75" customHeight="1">
      <c r="A489" s="78"/>
      <c r="B489" s="85"/>
      <c r="C489" s="62" t="str">
        <f>+'Cost of Salesa Expenses'!A259</f>
        <v>6411.01 - ພາ​ສີ​ທີ່​ດິນ ແລະ ປະ​ເພດ​ດຽວ​ກັນ - ຕົ້ນທຶນການບໍລິການ</v>
      </c>
      <c r="D489" s="62" t="str">
        <f>+'Cost of Salesa Expenses'!B259</f>
        <v>6411.01 - Land and similar tax - Service cost</v>
      </c>
      <c r="E489" s="86"/>
      <c r="F489" s="86"/>
      <c r="G489" s="87"/>
      <c r="H489" s="84"/>
    </row>
    <row r="490" spans="1:8" ht="12.75" customHeight="1">
      <c r="A490" s="78"/>
      <c r="B490" s="85"/>
      <c r="C490" s="62" t="str">
        <f>+'Cost of Salesa Expenses'!A260</f>
        <v>6411.02 - ພາ​ສີ​ທີ່​ດິນ ແລະ ປະ​ເພດ​ດຽວ​ກັນ - ຄ່າໃຊ້ຈ່າຍການຂາຍການບໍລິການ</v>
      </c>
      <c r="D490" s="62" t="str">
        <f>+'Cost of Salesa Expenses'!B260</f>
        <v>6411.02 - Land and similar taxes - Cost of sale of services</v>
      </c>
      <c r="E490" s="86"/>
      <c r="F490" s="86"/>
      <c r="G490" s="87"/>
      <c r="H490" s="84"/>
    </row>
    <row r="491" spans="1:8" ht="12.75" customHeight="1">
      <c r="A491" s="78"/>
      <c r="B491" s="85"/>
      <c r="C491" s="62" t="str">
        <f>+'Cost of Salesa Expenses'!A261</f>
        <v>6411.03 - ພາ​ສີ​ທີ່​ດິນ ແລະ ປະ​ເພດ​ດຽວ​ກັນ - ຄ່າໃຊ້ຈ່າຍບໍລິຫານ</v>
      </c>
      <c r="D491" s="62" t="str">
        <f>+'Cost of Salesa Expenses'!B261</f>
        <v>6411.03 - Land and similar taxes - Administrative expenses</v>
      </c>
      <c r="E491" s="86"/>
      <c r="F491" s="86"/>
      <c r="G491" s="87"/>
      <c r="H491" s="84"/>
    </row>
    <row r="492" spans="1:8" ht="12.75" customHeight="1">
      <c r="A492" s="78"/>
      <c r="B492" s="85"/>
      <c r="C492" s="62" t="str">
        <f>+'Cost of Salesa Expenses'!A262</f>
        <v>642 - ພາສີຂາອອກ</v>
      </c>
      <c r="D492" s="62" t="str">
        <f>+'Cost of Salesa Expenses'!B262</f>
        <v>642 - Export tax</v>
      </c>
      <c r="E492" s="86"/>
      <c r="F492" s="86"/>
      <c r="G492" s="87"/>
      <c r="H492" s="84"/>
    </row>
    <row r="493" spans="1:8" ht="12.75" customHeight="1">
      <c r="A493" s="78"/>
      <c r="B493" s="85"/>
      <c r="C493" s="62" t="str">
        <f>+'Cost of Salesa Expenses'!A263</f>
        <v>6421 - ພາສີຂາອອກ</v>
      </c>
      <c r="D493" s="62" t="str">
        <f>+'Cost of Salesa Expenses'!B263</f>
        <v>6421 - Export tax</v>
      </c>
      <c r="E493" s="86"/>
      <c r="F493" s="86"/>
      <c r="G493" s="87"/>
      <c r="H493" s="84"/>
    </row>
    <row r="494" spans="1:8" ht="12.75" customHeight="1">
      <c r="A494" s="78"/>
      <c r="B494" s="85"/>
      <c r="C494" s="62" t="str">
        <f>+'Cost of Salesa Expenses'!A264</f>
        <v>6421.03 - ພາສີຂາອອກ</v>
      </c>
      <c r="D494" s="62" t="str">
        <f>+'Cost of Salesa Expenses'!B264</f>
        <v>6421.03 - Export tax</v>
      </c>
      <c r="E494" s="86"/>
      <c r="F494" s="86"/>
      <c r="G494" s="87"/>
      <c r="H494" s="84"/>
    </row>
    <row r="495" spans="1:8" ht="12.75" customHeight="1">
      <c r="A495" s="78"/>
      <c r="B495" s="85"/>
      <c r="C495" s="62" t="str">
        <f>+'Cost of Salesa Expenses'!A265</f>
        <v>643 - ອມພ ຫັກ​ອອກບໍ່ໄດ້</v>
      </c>
      <c r="D495" s="62" t="str">
        <f>+'Cost of Salesa Expenses'!B265</f>
        <v>643 - Omp cannot be deducted</v>
      </c>
      <c r="E495" s="86"/>
      <c r="F495" s="86"/>
      <c r="G495" s="87"/>
      <c r="H495" s="84"/>
    </row>
    <row r="496" spans="1:8" ht="12.75" customHeight="1">
      <c r="A496" s="78"/>
      <c r="B496" s="85"/>
      <c r="C496" s="62" t="str">
        <f>+'Cost of Salesa Expenses'!A266</f>
        <v>6431 - ອມພ ຫັກ​ອອກບໍ່ໄດ້</v>
      </c>
      <c r="D496" s="62" t="str">
        <f>+'Cost of Salesa Expenses'!B266</f>
        <v>6431 - Omp is not deductible</v>
      </c>
      <c r="E496" s="86"/>
      <c r="F496" s="86"/>
      <c r="G496" s="87"/>
      <c r="H496" s="84"/>
    </row>
    <row r="497" spans="1:8" ht="12.75" customHeight="1">
      <c r="A497" s="78"/>
      <c r="B497" s="85"/>
      <c r="C497" s="62" t="str">
        <f>+'Cost of Salesa Expenses'!A267</f>
        <v>6431.03 - ອມພ ຫັກ​ອອກບໍ່ໄດ້</v>
      </c>
      <c r="D497" s="62" t="str">
        <f>+'Cost of Salesa Expenses'!B267</f>
        <v>6431.03 - Non-deductible benefits</v>
      </c>
      <c r="E497" s="86"/>
      <c r="F497" s="86"/>
      <c r="G497" s="87"/>
      <c r="H497" s="84"/>
    </row>
    <row r="498" spans="1:8" ht="12.75" customHeight="1">
      <c r="A498" s="78"/>
      <c r="B498" s="85"/>
      <c r="C498" s="62" t="str">
        <f>+'Cost of Salesa Expenses'!A268</f>
        <v>644 - ພາ​ສີ​ທີ່​ດິນ ແລະ ປະ​ເພດ​ດຽວ​ກັນ</v>
      </c>
      <c r="D498" s="62" t="str">
        <f>+'Cost of Salesa Expenses'!B268</f>
        <v>644 - Land tax and the same type</v>
      </c>
      <c r="E498" s="86"/>
      <c r="F498" s="86"/>
      <c r="G498" s="87"/>
      <c r="H498" s="84"/>
    </row>
    <row r="499" spans="1:8" ht="12.75" customHeight="1">
      <c r="A499" s="78"/>
      <c r="B499" s="136"/>
      <c r="C499" s="62" t="str">
        <f>+'Cost of Salesa Expenses'!A269</f>
        <v>6441 - ພາ​ສີ​ທີ່​ດິນ ແລະ ປະ​ເພດ​ດຽວ​ກັນ</v>
      </c>
      <c r="D499" s="62" t="str">
        <f>+'Cost of Salesa Expenses'!B269</f>
        <v>6441 - Land tax and the same type</v>
      </c>
      <c r="E499" s="137"/>
      <c r="F499" s="137"/>
      <c r="G499" s="138"/>
      <c r="H499" s="84"/>
    </row>
    <row r="500" spans="1:8" ht="12.75" customHeight="1">
      <c r="A500" s="78"/>
      <c r="B500" s="85"/>
      <c r="C500" s="62" t="str">
        <f>+'Cost of Salesa Expenses'!A270</f>
        <v>6441.03 - ພາ​ສີ​ທີ່​ດິນ ແລະ ປະ​ເພດ​ດຽວ​ກັນ</v>
      </c>
      <c r="D500" s="62" t="str">
        <f>+'Cost of Salesa Expenses'!B270</f>
        <v>6441.03 - Land tax and the same type</v>
      </c>
      <c r="E500" s="86"/>
      <c r="F500" s="86"/>
      <c r="G500" s="87"/>
      <c r="H500" s="84"/>
    </row>
    <row r="501" spans="1:8" ht="12.75" customHeight="1">
      <c r="A501" s="78"/>
      <c r="B501" s="85"/>
      <c r="C501" s="62" t="str">
        <f>+'Cost of Salesa Expenses'!A271</f>
        <v>647 - ຄ່າທຳນຽມ ແລະ ອາກອນສະແຕມ</v>
      </c>
      <c r="D501" s="62" t="str">
        <f>+'Cost of Salesa Expenses'!B271</f>
        <v>647 - Fees and Stamp Duty</v>
      </c>
      <c r="E501" s="86"/>
      <c r="F501" s="86"/>
      <c r="G501" s="87"/>
      <c r="H501" s="84"/>
    </row>
    <row r="502" spans="1:8" ht="12.75" customHeight="1">
      <c r="A502" s="78"/>
      <c r="B502" s="85"/>
      <c r="C502" s="62" t="str">
        <f>+'Cost of Salesa Expenses'!A272</f>
        <v>6471 - ຄ່າທຳນຽມ ແລະ ອາກອນສະແຕມ</v>
      </c>
      <c r="D502" s="62" t="str">
        <f>+'Cost of Salesa Expenses'!B272</f>
        <v>6471 - Fees and Stamp Duty</v>
      </c>
      <c r="E502" s="86"/>
      <c r="F502" s="86"/>
      <c r="G502" s="87"/>
      <c r="H502" s="84"/>
    </row>
    <row r="503" spans="1:8" ht="12.75" customHeight="1">
      <c r="A503" s="78"/>
      <c r="B503" s="85"/>
      <c r="C503" s="62" t="str">
        <f>+'Cost of Salesa Expenses'!A273</f>
        <v>6471.01 - ຄ່າທຳນຽມ ແລະ ອາກອນສະແຕມ - ຕົ້ນທຶນການບໍລິການ</v>
      </c>
      <c r="D503" s="62" t="str">
        <f>+'Cost of Salesa Expenses'!B273</f>
        <v>6471.01 - Fees and stamp duty - Cost of service</v>
      </c>
      <c r="E503" s="86"/>
      <c r="F503" s="86"/>
      <c r="G503" s="87"/>
      <c r="H503" s="84"/>
    </row>
    <row r="504" spans="1:8" ht="12.75" customHeight="1">
      <c r="A504" s="78"/>
      <c r="B504" s="85"/>
      <c r="C504" s="62" t="str">
        <f>+'Cost of Salesa Expenses'!A274</f>
        <v>6471.02 - ຄ່າທຳນຽມ ແລະ ອາກອນສະແຕມ - ຄ່າໃຊ້ຈ່າຍການຂາຍການບໍລິການ</v>
      </c>
      <c r="D504" s="62" t="str">
        <f>+'Cost of Salesa Expenses'!B274</f>
        <v>6471.02 - Fees and Stamp Tax - Cost of selling services</v>
      </c>
      <c r="E504" s="86"/>
      <c r="F504" s="86"/>
      <c r="G504" s="87"/>
      <c r="H504" s="84"/>
    </row>
    <row r="505" spans="1:8" ht="12.75" customHeight="1">
      <c r="A505" s="78"/>
      <c r="B505" s="85"/>
      <c r="C505" s="62" t="str">
        <f>+'Cost of Salesa Expenses'!A275</f>
        <v>6471.03 - ຄ່າທຳນຽມ ແລະ ອາກອນສະແຕມ - ຄ່າໃຊ້ຈ່າຍບໍລິຫານ</v>
      </c>
      <c r="D505" s="62" t="str">
        <f>+'Cost of Salesa Expenses'!B275</f>
        <v>6471.03 - Fees and Stamp Tax - Administrative Expenses</v>
      </c>
      <c r="E505" s="86"/>
      <c r="F505" s="86"/>
      <c r="G505" s="87"/>
      <c r="H505" s="84"/>
    </row>
    <row r="506" spans="1:8" ht="12.75" customHeight="1">
      <c r="A506" s="78"/>
      <c r="B506" s="85"/>
      <c r="C506" s="62" t="str">
        <f>+'Cost of Salesa Expenses'!A276</f>
        <v>648 - ອາກອນ ແລະ ຄ່າທຳນຽມອື່ນໆ</v>
      </c>
      <c r="D506" s="62" t="str">
        <f>+'Cost of Salesa Expenses'!B276</f>
        <v>648 - Taxes and other fees</v>
      </c>
      <c r="E506" s="86"/>
      <c r="F506" s="86"/>
      <c r="G506" s="87"/>
      <c r="H506" s="84"/>
    </row>
    <row r="507" spans="1:8" ht="12.75" customHeight="1">
      <c r="A507" s="78"/>
      <c r="B507" s="85"/>
      <c r="C507" s="62" t="str">
        <f>+'Cost of Salesa Expenses'!A277</f>
        <v>6481 - ອາກອນ ແລະ ຄ່າທຳນຽມອື່ນໆ</v>
      </c>
      <c r="D507" s="62" t="str">
        <f>+'Cost of Salesa Expenses'!B277</f>
        <v>6481 - Other taxes and fees</v>
      </c>
      <c r="E507" s="86"/>
      <c r="F507" s="86"/>
      <c r="G507" s="87"/>
      <c r="H507" s="84"/>
    </row>
    <row r="508" spans="1:8" ht="12.75" customHeight="1">
      <c r="A508" s="78"/>
      <c r="B508" s="85"/>
      <c r="C508" s="62" t="str">
        <f>+'Cost of Salesa Expenses'!A278</f>
        <v>6481.01 - ອາກອນ ແລະ ຄ່າທຳນຽມອື່ນໆ -ຕົ້ນທຶນການບໍລິການ</v>
      </c>
      <c r="D508" s="62" t="str">
        <f>+'Cost of Salesa Expenses'!B278</f>
        <v>6481.01 - Taxes and other fees - Cost of services</v>
      </c>
      <c r="E508" s="86"/>
      <c r="F508" s="86"/>
      <c r="G508" s="87"/>
      <c r="H508" s="84"/>
    </row>
    <row r="509" spans="1:8" ht="12.75" customHeight="1">
      <c r="A509" s="78"/>
      <c r="B509" s="85"/>
      <c r="C509" s="62" t="str">
        <f>+'Cost of Salesa Expenses'!A279</f>
        <v>6481.02 - ອາກອນ ແລະ ຄ່າທຳນຽມອື່ນໆ - ຄ່າໃຊ້ຈ່າຍການຂາຍການບໍລິການ</v>
      </c>
      <c r="D509" s="62" t="str">
        <f>+'Cost of Salesa Expenses'!B279</f>
        <v>6481.02 - Taxes and other fees - Cost of selling services</v>
      </c>
      <c r="E509" s="86"/>
      <c r="F509" s="86"/>
      <c r="G509" s="87"/>
      <c r="H509" s="84"/>
    </row>
    <row r="510" spans="1:8" ht="12.75" customHeight="1" thickBot="1">
      <c r="A510" s="78"/>
      <c r="B510" s="89"/>
      <c r="C510" s="90" t="str">
        <f>+'Cost of Salesa Expenses'!A280</f>
        <v>6481.03 - ອາກອນ ແລະ ຄ່າທຳນຽມອື່ນໆ - ຄ່າໃຊ້ຈ່າຍບໍລິຫານ</v>
      </c>
      <c r="D510" s="90" t="str">
        <f>+'Cost of Salesa Expenses'!B280</f>
        <v>6481.03 - Taxes and other fees - Administrative expenses</v>
      </c>
      <c r="E510" s="91"/>
      <c r="F510" s="91"/>
      <c r="G510" s="92"/>
      <c r="H510" s="84"/>
    </row>
    <row r="511" spans="1:8" ht="12.75" customHeight="1" thickTop="1" thickBot="1">
      <c r="A511" s="78"/>
      <c r="B511" s="139"/>
      <c r="C511" s="140"/>
      <c r="D511" s="140"/>
      <c r="E511" s="141"/>
      <c r="F511" s="141"/>
      <c r="G511" s="142"/>
      <c r="H511" s="84"/>
    </row>
    <row r="512" spans="1:8" ht="12.75" customHeight="1" thickTop="1">
      <c r="A512" s="78"/>
      <c r="B512" s="129" t="s">
        <v>1172</v>
      </c>
      <c r="C512" s="81"/>
      <c r="D512" s="81"/>
      <c r="E512" s="82"/>
      <c r="F512" s="82"/>
      <c r="G512" s="83"/>
      <c r="H512" s="84"/>
    </row>
    <row r="513" spans="1:8" ht="12.75" customHeight="1">
      <c r="A513" s="78"/>
      <c r="B513" s="85"/>
      <c r="C513" s="62" t="str">
        <f>+'Cost of Salesa Expenses'!A60</f>
        <v>6114 - ຈ້າງ​ທາງ​ນອກ​ ພະນັກງານຈ້າງທາງນອກ</v>
      </c>
      <c r="D513" s="62" t="str">
        <f>+'Cost of Salesa Expenses'!B60</f>
        <v>6114 - Outsourced employees</v>
      </c>
      <c r="E513" s="86">
        <v>-15000000</v>
      </c>
      <c r="F513" s="86"/>
      <c r="G513" s="87">
        <v>-15000000</v>
      </c>
      <c r="H513" s="84"/>
    </row>
    <row r="514" spans="1:8" ht="12.75" customHeight="1">
      <c r="A514" s="78"/>
      <c r="B514" s="85"/>
      <c r="C514" s="62" t="str">
        <f>+'Cost of Salesa Expenses'!A61</f>
        <v>6114.01 - ຈ້າງ​ທາງ​ນອກ​ ບໍລິການ ກວດສອບຈາກທາງນອກ -ຕົ້ນທຶນການບໍລິການ</v>
      </c>
      <c r="D514" s="62" t="str">
        <f>+'Cost of Salesa Expenses'!B61</f>
        <v>6114.01 - Hiring external services, checking from external sources - cost of services</v>
      </c>
      <c r="E514" s="86"/>
      <c r="F514" s="86"/>
      <c r="G514" s="87"/>
      <c r="H514" s="84"/>
    </row>
    <row r="515" spans="1:8" ht="12.75" customHeight="1">
      <c r="A515" s="78"/>
      <c r="B515" s="85"/>
      <c r="C515" s="62" t="str">
        <f>+'Cost of Salesa Expenses'!A62</f>
        <v>6114.02 - ຈ້າງ​ທາງ​ນອກ​ ບໍລິການ ກວດສອບຈາກທາງນອກ-ຄ່າໃຊ້ຈ່າຍການຂາຍການບໍລິການ</v>
      </c>
      <c r="D515" s="62" t="str">
        <f>+'Cost of Salesa Expenses'!B62</f>
        <v>6114.02 - Outsourced services, audits from the outside - cost of selling services</v>
      </c>
      <c r="E515" s="86"/>
      <c r="F515" s="86"/>
      <c r="G515" s="87"/>
      <c r="H515" s="84"/>
    </row>
    <row r="516" spans="1:8" ht="12.75" customHeight="1">
      <c r="A516" s="78"/>
      <c r="B516" s="85"/>
      <c r="C516" s="62" t="str">
        <f>+'Cost of Salesa Expenses'!A63</f>
        <v>6114.03 - ຈ້າງ​ທາງ​ນອກ​ ບໍລິການ ກວດສອບຈາກທາງນອກ - ຄ່າໃຊ້ຈ່າຍບໍລິຫານ</v>
      </c>
      <c r="D516" s="62" t="str">
        <f>+'Cost of Salesa Expenses'!B63</f>
        <v>6114.03 - Outsourced audit services - Administrative costs</v>
      </c>
      <c r="E516" s="86"/>
      <c r="F516" s="86"/>
      <c r="G516" s="87"/>
      <c r="H516" s="84"/>
    </row>
    <row r="517" spans="1:8" ht="12.75" customHeight="1">
      <c r="A517" s="78"/>
      <c r="B517" s="85"/>
      <c r="C517" s="62" t="str">
        <f>+'Cost of Salesa Expenses'!A64</f>
        <v>6115 - ຈ້າງ​ທາງ​ນອກ​ ພະນັກງານຈ້າງທາງນອກ</v>
      </c>
      <c r="D517" s="62" t="str">
        <f>+'Cost of Salesa Expenses'!B64</f>
        <v>6115 - Hiring from the outside, employees are hired from the outside</v>
      </c>
      <c r="E517" s="86"/>
      <c r="F517" s="86"/>
      <c r="G517" s="87"/>
      <c r="H517" s="84"/>
    </row>
    <row r="518" spans="1:8" ht="12.75" customHeight="1">
      <c r="A518" s="78"/>
      <c r="B518" s="85"/>
      <c r="C518" s="62" t="str">
        <f>+'Cost of Salesa Expenses'!A65</f>
        <v>6115.01 - ຈ້າງ​ທາງ​ນອກ​ ບໍລິການ ທຳຄວາມສະອາດ -ຕົ້ນທຶນການບໍລິການ</v>
      </c>
      <c r="D518" s="62" t="str">
        <f>+'Cost of Salesa Expenses'!B65</f>
        <v>6115.01 - Outsourced cleaning services - cost of services</v>
      </c>
      <c r="E518" s="86"/>
      <c r="F518" s="86"/>
      <c r="G518" s="87"/>
      <c r="H518" s="84"/>
    </row>
    <row r="519" spans="1:8" ht="12.75" customHeight="1">
      <c r="A519" s="78"/>
      <c r="B519" s="85"/>
      <c r="C519" s="62" t="str">
        <f>+'Cost of Salesa Expenses'!A66</f>
        <v>6115.02 - ຈ້າງ​ທາງ​ນອກ​ ບໍລິການ ທຳຄວາມສະອາດ-ຄ່າໃຊ້ຈ່າຍການຂາຍການບໍລິການ</v>
      </c>
      <c r="D519" s="62" t="str">
        <f>+'Cost of Salesa Expenses'!B66</f>
        <v>6115.02 - Outsourced cleaning services - cost of selling services</v>
      </c>
      <c r="E519" s="86"/>
      <c r="F519" s="86"/>
      <c r="G519" s="87"/>
      <c r="H519" s="84"/>
    </row>
    <row r="520" spans="1:8" ht="12.75" customHeight="1" thickBot="1">
      <c r="A520" s="78"/>
      <c r="B520" s="89"/>
      <c r="C520" s="90" t="str">
        <f>+'Cost of Salesa Expenses'!A67</f>
        <v>6115.03 - ຈ້າງ​ທາງ​ນອກ​ ບໍລິການ ທຳຄວາມສະອາດ - ຄ່າໃຊ້ຈ່າຍບໍລິຫານ</v>
      </c>
      <c r="D520" s="90" t="str">
        <f>+'Cost of Salesa Expenses'!B67</f>
        <v>6115.03 - Outsourced cleaning services - Administrative expenses</v>
      </c>
      <c r="E520" s="91"/>
      <c r="F520" s="91"/>
      <c r="G520" s="92"/>
      <c r="H520" s="84"/>
    </row>
    <row r="521" spans="1:8" ht="12.75" customHeight="1" thickTop="1">
      <c r="A521" s="78"/>
      <c r="B521" s="71"/>
      <c r="C521" s="71"/>
      <c r="D521" s="71"/>
      <c r="E521" s="68"/>
      <c r="F521" s="68"/>
      <c r="G521" s="68"/>
      <c r="H521" s="74"/>
    </row>
    <row r="522" spans="1:8" ht="12.75" customHeight="1" thickBot="1">
      <c r="A522" s="78"/>
      <c r="B522" s="71"/>
      <c r="C522" s="71"/>
      <c r="D522" s="71"/>
      <c r="E522" s="68"/>
      <c r="F522" s="68"/>
      <c r="G522" s="68"/>
      <c r="H522" s="74"/>
    </row>
    <row r="523" spans="1:8" ht="12.75" customHeight="1" thickTop="1">
      <c r="A523" s="78"/>
      <c r="B523" s="129" t="s">
        <v>1173</v>
      </c>
      <c r="C523" s="81"/>
      <c r="D523" s="81"/>
      <c r="E523" s="82"/>
      <c r="F523" s="82"/>
      <c r="G523" s="83"/>
      <c r="H523" s="84"/>
    </row>
    <row r="524" spans="1:8" ht="12.75" customHeight="1">
      <c r="A524" s="78"/>
      <c r="B524" s="85"/>
      <c r="C524" s="62" t="str">
        <f>+'Cost of Salesa Expenses'!A15</f>
        <v>6311.03</v>
      </c>
      <c r="D524" s="62">
        <f>+'Cost of Salesa Expenses'!B15</f>
        <v>340919225</v>
      </c>
      <c r="E524" s="86">
        <v>-15000000</v>
      </c>
      <c r="F524" s="86"/>
      <c r="G524" s="87">
        <v>-15000000</v>
      </c>
      <c r="H524" s="84"/>
    </row>
    <row r="525" spans="1:8" ht="12.75" customHeight="1">
      <c r="A525" s="78"/>
      <c r="B525" s="85"/>
      <c r="C525" s="62" t="str">
        <f>+'Cost of Salesa Expenses'!A16</f>
        <v>6311.03</v>
      </c>
      <c r="D525" s="62">
        <f>+'Cost of Salesa Expenses'!B16</f>
        <v>121208793</v>
      </c>
      <c r="E525" s="86"/>
      <c r="F525" s="86"/>
      <c r="G525" s="87"/>
      <c r="H525" s="84"/>
    </row>
    <row r="526" spans="1:8" ht="12.75" customHeight="1">
      <c r="A526" s="78"/>
      <c r="B526" s="85"/>
      <c r="C526" s="62" t="str">
        <f>+'Cost of Salesa Expenses'!A17</f>
        <v>6311.03</v>
      </c>
      <c r="D526" s="62">
        <f>+'Cost of Salesa Expenses'!B17</f>
        <v>264981024</v>
      </c>
      <c r="E526" s="86"/>
      <c r="F526" s="86"/>
      <c r="G526" s="87"/>
      <c r="H526" s="84"/>
    </row>
    <row r="527" spans="1:8" ht="12.75" customHeight="1">
      <c r="A527" s="78"/>
      <c r="B527" s="85"/>
      <c r="C527" s="62" t="str">
        <f>+'Cost of Salesa Expenses'!A18</f>
        <v>6311.03</v>
      </c>
      <c r="D527" s="62">
        <f>+'Cost of Salesa Expenses'!B18</f>
        <v>65820782</v>
      </c>
      <c r="E527" s="86"/>
      <c r="F527" s="86"/>
      <c r="G527" s="87"/>
      <c r="H527" s="84"/>
    </row>
    <row r="528" spans="1:8" ht="12.75" customHeight="1">
      <c r="A528" s="78"/>
      <c r="B528" s="85"/>
      <c r="C528" s="62" t="str">
        <f>+'Cost of Salesa Expenses'!A19</f>
        <v>6311.03</v>
      </c>
      <c r="D528" s="62">
        <f>+'Cost of Salesa Expenses'!B19</f>
        <v>470113069</v>
      </c>
      <c r="E528" s="86"/>
      <c r="F528" s="86"/>
      <c r="G528" s="87"/>
      <c r="H528" s="84"/>
    </row>
    <row r="529" spans="1:8" ht="12.75" customHeight="1">
      <c r="A529" s="78"/>
      <c r="B529" s="85"/>
      <c r="C529" s="62" t="str">
        <f>+'Cost of Salesa Expenses'!A20</f>
        <v>6311.03</v>
      </c>
      <c r="D529" s="62">
        <f>+'Cost of Salesa Expenses'!B20</f>
        <v>4547955</v>
      </c>
      <c r="E529" s="86"/>
      <c r="F529" s="86"/>
      <c r="G529" s="87"/>
      <c r="H529" s="84"/>
    </row>
    <row r="530" spans="1:8">
      <c r="B530" s="136"/>
      <c r="C530" s="62" t="str">
        <f>+'Cost of Salesa Expenses'!A21</f>
        <v>6311.03</v>
      </c>
      <c r="D530" s="62">
        <f>+'Cost of Salesa Expenses'!B21</f>
        <v>7292250</v>
      </c>
      <c r="E530" s="143"/>
      <c r="F530" s="143"/>
      <c r="G530" s="144"/>
      <c r="H530" s="145"/>
    </row>
    <row r="531" spans="1:8" ht="12.75" customHeight="1">
      <c r="A531" s="78"/>
      <c r="B531" s="85"/>
      <c r="C531" s="62" t="str">
        <f>+'Cost of Salesa Expenses'!A22</f>
        <v>6311.03</v>
      </c>
      <c r="D531" s="62">
        <f>+'Cost of Salesa Expenses'!B22</f>
        <v>95107851</v>
      </c>
      <c r="E531" s="86"/>
      <c r="F531" s="86"/>
      <c r="G531" s="87"/>
      <c r="H531" s="84"/>
    </row>
    <row r="532" spans="1:8" ht="12.75" customHeight="1">
      <c r="A532" s="78"/>
      <c r="B532" s="85"/>
      <c r="C532" s="62" t="str">
        <f>+'Cost of Salesa Expenses'!A157</f>
        <v>6232 - ໂທລະ​ສັບ</v>
      </c>
      <c r="D532" s="62" t="str">
        <f>+'Cost of Salesa Expenses'!B157</f>
        <v>6232 - Telephone</v>
      </c>
      <c r="E532" s="86"/>
      <c r="F532" s="86"/>
      <c r="G532" s="87"/>
      <c r="H532" s="84"/>
    </row>
    <row r="533" spans="1:8" ht="12.75" customHeight="1">
      <c r="A533" s="78"/>
      <c r="B533" s="85"/>
      <c r="C533" s="62" t="str">
        <f>+'Cost of Salesa Expenses'!A158</f>
        <v>6232.01 - ໂທລະ​ສັບ - ຕົ້ນທຶນການບໍລິການ</v>
      </c>
      <c r="D533" s="62" t="str">
        <f>+'Cost of Salesa Expenses'!B158</f>
        <v>6232.01 - Telephone - Service cost</v>
      </c>
      <c r="E533" s="86"/>
      <c r="F533" s="86"/>
      <c r="G533" s="87"/>
      <c r="H533" s="84"/>
    </row>
    <row r="534" spans="1:8" ht="12.75" customHeight="1">
      <c r="A534" s="78"/>
      <c r="B534" s="85"/>
      <c r="C534" s="62" t="str">
        <f>+'Cost of Salesa Expenses'!A159</f>
        <v>6232.02 - ໂທລະ​ສັບ - ຄ່າໃຊ້ຈ່າຍການຂາຍການບໍລິການ</v>
      </c>
      <c r="D534" s="62" t="str">
        <f>+'Cost of Salesa Expenses'!B159</f>
        <v>6232.02 - Telephone - Cost of selling services</v>
      </c>
      <c r="E534" s="86"/>
      <c r="F534" s="86"/>
      <c r="G534" s="87"/>
      <c r="H534" s="84"/>
    </row>
    <row r="535" spans="1:8" ht="12.75" customHeight="1">
      <c r="A535" s="78"/>
      <c r="B535" s="85"/>
      <c r="C535" s="62" t="str">
        <f>+'Cost of Salesa Expenses'!A160</f>
        <v>6232.03 - ໂທລະ​ສັບ - ຄ່າໃຊ້ຈ່າຍບໍລິຫານ</v>
      </c>
      <c r="D535" s="62" t="str">
        <f>+'Cost of Salesa Expenses'!B160</f>
        <v>6232.03 - Telephone - Administrative expenses</v>
      </c>
      <c r="E535" s="86"/>
      <c r="F535" s="86"/>
      <c r="G535" s="87"/>
      <c r="H535" s="84"/>
    </row>
    <row r="536" spans="1:8" ht="12.75" customHeight="1">
      <c r="A536" s="78"/>
      <c r="B536" s="85"/>
      <c r="C536" s="62" t="str">
        <f>+'Cost of Salesa Expenses'!A161</f>
        <v>6233 - ອິນເຕີເນັດ</v>
      </c>
      <c r="D536" s="62" t="str">
        <f>+'Cost of Salesa Expenses'!B161</f>
        <v>6233 - Internet</v>
      </c>
      <c r="E536" s="86"/>
      <c r="F536" s="86"/>
      <c r="G536" s="87"/>
      <c r="H536" s="84"/>
    </row>
    <row r="537" spans="1:8" ht="12.75" customHeight="1">
      <c r="A537" s="78"/>
      <c r="B537" s="85"/>
      <c r="C537" s="62" t="str">
        <f>+'Cost of Salesa Expenses'!A162</f>
        <v>6233.01 - ອິນເຕີເນັດ - ຕົ້ນທຶນການບໍລິການ</v>
      </c>
      <c r="D537" s="62" t="str">
        <f>+'Cost of Salesa Expenses'!B162</f>
        <v>6233.01 - Internet - Service cost</v>
      </c>
      <c r="E537" s="86"/>
      <c r="F537" s="86"/>
      <c r="G537" s="87"/>
      <c r="H537" s="84"/>
    </row>
    <row r="538" spans="1:8" ht="12.75" customHeight="1">
      <c r="A538" s="78"/>
      <c r="B538" s="85"/>
      <c r="C538" s="62" t="str">
        <f>+'Cost of Salesa Expenses'!A163</f>
        <v>6233.02 - ອິນເຕີເນັດ - ຄ່າໃຊ້ຈ່າຍການຂາຍການບໍລິການ</v>
      </c>
      <c r="D538" s="62" t="str">
        <f>+'Cost of Salesa Expenses'!B163</f>
        <v>6233.02 - Internet - Cost of selling services</v>
      </c>
      <c r="E538" s="86"/>
      <c r="F538" s="86"/>
      <c r="G538" s="87"/>
      <c r="H538" s="84"/>
    </row>
    <row r="539" spans="1:8" ht="12.75" customHeight="1">
      <c r="A539" s="78"/>
      <c r="B539" s="85"/>
      <c r="C539" s="62" t="str">
        <f>+'Cost of Salesa Expenses'!A164</f>
        <v>6233.03 - ອິນເຕີເນັດ - ຄ່າໃຊ້ຈ່າຍບໍລິຫານ</v>
      </c>
      <c r="D539" s="62" t="str">
        <f>+'Cost of Salesa Expenses'!B164</f>
        <v>6233.03 - Internet - Administrative expenses</v>
      </c>
      <c r="E539" s="86"/>
      <c r="F539" s="86"/>
      <c r="G539" s="87"/>
      <c r="H539" s="84"/>
    </row>
    <row r="540" spans="1:8" ht="12.75" customHeight="1" thickBot="1">
      <c r="A540" s="78"/>
      <c r="B540" s="89"/>
      <c r="C540" s="90"/>
      <c r="D540" s="90"/>
      <c r="E540" s="91"/>
      <c r="F540" s="91"/>
      <c r="G540" s="92"/>
      <c r="H540" s="84"/>
    </row>
    <row r="541" spans="1:8" ht="12.75" customHeight="1" thickTop="1">
      <c r="A541" s="78"/>
      <c r="B541" s="80"/>
      <c r="C541" s="81"/>
      <c r="D541" s="81"/>
      <c r="E541" s="82"/>
      <c r="F541" s="82"/>
      <c r="G541" s="83"/>
      <c r="H541" s="84"/>
    </row>
    <row r="542" spans="1:8" ht="12.75" customHeight="1">
      <c r="A542" s="78"/>
      <c r="B542" s="64" t="s">
        <v>1174</v>
      </c>
      <c r="C542" s="62"/>
      <c r="D542" s="62"/>
      <c r="E542" s="86">
        <v>-15000000</v>
      </c>
      <c r="F542" s="86"/>
      <c r="G542" s="87">
        <v>-15000000</v>
      </c>
      <c r="H542" s="84"/>
    </row>
    <row r="543" spans="1:8" ht="12.75" customHeight="1">
      <c r="A543" s="78"/>
      <c r="B543" s="85"/>
      <c r="C543" s="62"/>
      <c r="D543" s="62" t="str">
        <f>+'Cost of Salesa Expenses'!B68</f>
        <v>612 - Rent</v>
      </c>
      <c r="E543" s="86"/>
      <c r="F543" s="86"/>
      <c r="G543" s="87"/>
      <c r="H543" s="84"/>
    </row>
    <row r="544" spans="1:8" ht="12.75" customHeight="1">
      <c r="A544" s="78"/>
      <c r="B544" s="85"/>
      <c r="C544" s="62" t="str">
        <f>+'Cost of Salesa Expenses'!A69</f>
        <v>6121 - ຄ່າເຊົ່າຕຶກ, ອາຄານ</v>
      </c>
      <c r="D544" s="62" t="str">
        <f>+'Cost of Salesa Expenses'!B69</f>
        <v>6121 - Building rent, buildings</v>
      </c>
      <c r="E544" s="86"/>
      <c r="F544" s="86"/>
      <c r="G544" s="87"/>
      <c r="H544" s="84"/>
    </row>
    <row r="545" spans="1:8" ht="12.75" customHeight="1">
      <c r="A545" s="78"/>
      <c r="B545" s="85"/>
      <c r="C545" s="62" t="str">
        <f>+'Cost of Salesa Expenses'!A70</f>
        <v>6121.01 - ຄ່າເຊົ່າຕຶກ, ອາຄານ - ຕົ້ນທຶນການບໍລິການ</v>
      </c>
      <c r="D545" s="62" t="str">
        <f>+'Cost of Salesa Expenses'!B70</f>
        <v>6121.01 - Building rent, building - service cost</v>
      </c>
      <c r="E545" s="86"/>
      <c r="F545" s="86"/>
      <c r="G545" s="87"/>
      <c r="H545" s="84"/>
    </row>
    <row r="546" spans="1:8" ht="12.75" customHeight="1">
      <c r="A546" s="78"/>
      <c r="B546" s="85"/>
      <c r="C546" s="62" t="str">
        <f>+'Cost of Salesa Expenses'!A71</f>
        <v>6121.02 - ຄ່າເຊົ່າຕຶກ, ອາຄານ - ຄ່າໃຊ້ຈ່າຍການຂາຍການບໍລິການ</v>
      </c>
      <c r="D546" s="62" t="str">
        <f>+'Cost of Salesa Expenses'!B71</f>
        <v>6121.02 - Building rent, building - Cost of selling services</v>
      </c>
      <c r="E546" s="86"/>
      <c r="F546" s="86"/>
      <c r="G546" s="87"/>
      <c r="H546" s="84"/>
    </row>
    <row r="547" spans="1:8" ht="12.75" customHeight="1">
      <c r="A547" s="78"/>
      <c r="B547" s="85"/>
      <c r="C547" s="62" t="str">
        <f>+'Cost of Salesa Expenses'!A72</f>
        <v>6121.03 - ຄ່າເຊົ່າຕຶກ, ອາຄານ - ຄ່າໃຊ້ຈ່າຍບໍລິຫານ</v>
      </c>
      <c r="D547" s="62" t="str">
        <f>+'Cost of Salesa Expenses'!B72</f>
        <v>6121.03 - Building rent, building - Administrative expenses</v>
      </c>
      <c r="E547" s="86"/>
      <c r="F547" s="86"/>
      <c r="G547" s="87"/>
      <c r="H547" s="84"/>
    </row>
    <row r="548" spans="1:8" ht="12.75" customHeight="1">
      <c r="A548" s="78"/>
      <c r="B548" s="85"/>
      <c r="C548" s="62" t="str">
        <f>+'Cost of Salesa Expenses'!A73</f>
        <v>6122 - ຄ່າ​ເຊົ່າອຸປະກອນ ແລະ ເຄື່ອງໃຊ້ຫ້ອງການ</v>
      </c>
      <c r="D548" s="62" t="str">
        <f>+'Cost of Salesa Expenses'!B73</f>
        <v>6122 - Rental of office equipment and supplies</v>
      </c>
      <c r="E548" s="86"/>
      <c r="F548" s="86"/>
      <c r="G548" s="87"/>
      <c r="H548" s="84"/>
    </row>
    <row r="549" spans="1:8" ht="12.75" customHeight="1">
      <c r="A549" s="78"/>
      <c r="B549" s="85"/>
      <c r="C549" s="62" t="str">
        <f>+'Cost of Salesa Expenses'!A74</f>
        <v>6122.01 - ຄ່າ​ເຊົ່າອຸປະກອນ ແລະ ເຄື່ອງໃຊ້ຫ້ອງການ - ຕົ້ນທຶນການບໍລິການ</v>
      </c>
      <c r="D549" s="62" t="str">
        <f>+'Cost of Salesa Expenses'!B74</f>
        <v>6122.01 - Rental of office equipment and supplies - Service cost</v>
      </c>
      <c r="E549" s="86"/>
      <c r="F549" s="86"/>
      <c r="G549" s="87"/>
      <c r="H549" s="84"/>
    </row>
    <row r="550" spans="1:8" ht="12.75" customHeight="1">
      <c r="A550" s="78"/>
      <c r="B550" s="85"/>
      <c r="C550" s="62" t="str">
        <f>+'Cost of Salesa Expenses'!A75</f>
        <v>6122.02 - ຄ່າ​ເຊົ່າອຸປະກອນ ແລະ ເຄື່ອງໃຊ້ຫ້ອງການ - ຄ່າໃຊ້ຈ່າຍການຂາຍການບໍລິການ</v>
      </c>
      <c r="D550" s="62" t="str">
        <f>+'Cost of Salesa Expenses'!B75</f>
        <v>6122.02 - Rental of office equipment and supplies - Cost of selling services</v>
      </c>
      <c r="E550" s="86"/>
      <c r="F550" s="86"/>
      <c r="G550" s="87"/>
      <c r="H550" s="84"/>
    </row>
    <row r="551" spans="1:8">
      <c r="B551" s="136"/>
      <c r="C551" s="62" t="str">
        <f>+'Cost of Salesa Expenses'!A76</f>
        <v>6122.03 - ຄ່າ​ເຊົ່າອຸປະກອນ ແລະ ເຄື່ອງໃຊ້ຫ້ອງການ - ຄ່າໃຊ້ຈ່າຍບໍລິຫານ</v>
      </c>
      <c r="D551" s="62" t="str">
        <f>+'Cost of Salesa Expenses'!B76</f>
        <v>6122.03 - Rental of office equipment and supplies - Administrative expenses</v>
      </c>
      <c r="E551" s="143"/>
      <c r="F551" s="143"/>
      <c r="G551" s="144"/>
      <c r="H551" s="145"/>
    </row>
    <row r="552" spans="1:8" ht="12.75" customHeight="1">
      <c r="A552" s="78"/>
      <c r="B552" s="85"/>
      <c r="C552" s="62" t="str">
        <f>+'Cost of Salesa Expenses'!A77</f>
        <v>6123 - ຄ່າ​ເຊົ່າລົດ</v>
      </c>
      <c r="D552" s="62" t="str">
        <f>+'Cost of Salesa Expenses'!B77</f>
        <v>6123 - Car rental</v>
      </c>
      <c r="E552" s="86"/>
      <c r="F552" s="86"/>
      <c r="G552" s="87"/>
      <c r="H552" s="84"/>
    </row>
    <row r="553" spans="1:8" ht="12.75" customHeight="1">
      <c r="A553" s="78"/>
      <c r="B553" s="85"/>
      <c r="C553" s="62" t="str">
        <f>+'Cost of Salesa Expenses'!A78</f>
        <v>6123.01 - ຄ່າ​ເຊົ່າລົດ - ຕົ້ນທຶນການບໍລິການ</v>
      </c>
      <c r="D553" s="62" t="str">
        <f>+'Cost of Salesa Expenses'!B78</f>
        <v>6123.01 - Car rental - Service cost</v>
      </c>
      <c r="E553" s="86"/>
      <c r="F553" s="86"/>
      <c r="G553" s="87"/>
      <c r="H553" s="84"/>
    </row>
    <row r="554" spans="1:8" ht="12.75" customHeight="1">
      <c r="A554" s="78"/>
      <c r="B554" s="85"/>
      <c r="C554" s="62" t="str">
        <f>+'Cost of Salesa Expenses'!A79</f>
        <v>6123.02 - ຄ່າ​ເຊົ່າລົດ - ຄ່າໃຊ້ຈ່າຍການຂາຍການບໍລິການ</v>
      </c>
      <c r="D554" s="62" t="str">
        <f>+'Cost of Salesa Expenses'!B79</f>
        <v>6123.02 - Car rental fee - Cost of selling services</v>
      </c>
      <c r="E554" s="86"/>
      <c r="F554" s="86"/>
      <c r="G554" s="87"/>
      <c r="H554" s="84"/>
    </row>
    <row r="555" spans="1:8" ht="12.75" customHeight="1">
      <c r="A555" s="78"/>
      <c r="B555" s="85"/>
      <c r="C555" s="62" t="str">
        <f>+'Cost of Salesa Expenses'!A80</f>
        <v>6123.03 - ຄ່າ​ເຊົ່າລົດ - ຄ່າໃຊ້ຈ່າຍບໍລິຫານ</v>
      </c>
      <c r="D555" s="62" t="str">
        <f>+'Cost of Salesa Expenses'!B80</f>
        <v>6123.03 - Car rental - Administrative expenses</v>
      </c>
      <c r="E555" s="86"/>
      <c r="F555" s="86"/>
      <c r="G555" s="87"/>
      <c r="H555" s="84"/>
    </row>
    <row r="556" spans="1:8" ht="12.75" customHeight="1">
      <c r="A556" s="78"/>
      <c r="B556" s="85"/>
      <c r="C556" s="62" t="str">
        <f>+'Cost of Salesa Expenses'!A81</f>
        <v>6124 - ຄ່າເຊົ່າສາຍ Internet</v>
      </c>
      <c r="D556" s="62" t="str">
        <f>+'Cost of Salesa Expenses'!B85</f>
        <v>6125 - Land rent</v>
      </c>
      <c r="E556" s="86"/>
      <c r="F556" s="86"/>
      <c r="G556" s="87"/>
      <c r="H556" s="84"/>
    </row>
    <row r="557" spans="1:8" ht="12.75" customHeight="1">
      <c r="A557" s="78"/>
      <c r="B557" s="85"/>
      <c r="C557" s="62" t="str">
        <f>+'Cost of Salesa Expenses'!A86</f>
        <v>6125.01 - ຄ່າເຊົ່າດິນ - ຕົ້ນທຶນການບໍລິການ</v>
      </c>
      <c r="D557" s="62" t="str">
        <f>+'Cost of Salesa Expenses'!B86</f>
        <v>6125.01 - Land rent - Service cost</v>
      </c>
      <c r="E557" s="86"/>
      <c r="F557" s="86"/>
      <c r="G557" s="87"/>
      <c r="H557" s="84"/>
    </row>
    <row r="558" spans="1:8" ht="12.75" customHeight="1">
      <c r="A558" s="78"/>
      <c r="B558" s="85"/>
      <c r="C558" s="62" t="str">
        <f>+'Cost of Salesa Expenses'!A87</f>
        <v>613 - ຄ່າ​ທຳ​ນຽມ</v>
      </c>
      <c r="D558" s="62" t="str">
        <f>+'Cost of Salesa Expenses'!B123</f>
        <v>6161 - Rental and co-ownership expenses</v>
      </c>
      <c r="E558" s="86"/>
      <c r="F558" s="86"/>
      <c r="G558" s="87"/>
      <c r="H558" s="84"/>
    </row>
    <row r="559" spans="1:8" ht="12.75" customHeight="1">
      <c r="A559" s="78"/>
      <c r="B559" s="85"/>
      <c r="C559" s="62" t="str">
        <f>+'Cost of Salesa Expenses'!A124</f>
        <v>6161.01 - ຄ່າ​ໃຊ້​ຈ່າຍ​ໃນ​ການ​ເຊົ່າ ແລະ ການ​ຮ່ວມ​ກຳ​ມະ​ສິດ</v>
      </c>
      <c r="D559" s="62" t="str">
        <f>+'Cost of Salesa Expenses'!B124</f>
        <v>6161.01 - Rental and co-ownership expenses</v>
      </c>
      <c r="E559" s="86"/>
      <c r="F559" s="86"/>
      <c r="G559" s="87"/>
      <c r="H559" s="84"/>
    </row>
    <row r="560" spans="1:8" ht="12.75" customHeight="1" thickBot="1">
      <c r="A560" s="78"/>
      <c r="B560" s="89"/>
      <c r="C560" s="90"/>
      <c r="D560" s="90"/>
      <c r="E560" s="91"/>
      <c r="F560" s="91"/>
      <c r="G560" s="92"/>
      <c r="H560" s="84"/>
    </row>
    <row r="561" spans="1:8" ht="12.75" customHeight="1" thickTop="1">
      <c r="A561" s="78"/>
      <c r="B561" s="132"/>
      <c r="C561" s="133"/>
      <c r="D561" s="133"/>
      <c r="E561" s="134"/>
      <c r="F561" s="134"/>
      <c r="G561" s="135"/>
      <c r="H561" s="84"/>
    </row>
    <row r="562" spans="1:8" ht="12.75" customHeight="1">
      <c r="A562" s="78"/>
      <c r="B562" s="64" t="s">
        <v>1175</v>
      </c>
      <c r="C562" s="62"/>
      <c r="D562" s="62"/>
      <c r="E562" s="86">
        <v>-15000000</v>
      </c>
      <c r="F562" s="86"/>
      <c r="G562" s="87">
        <v>-15000000</v>
      </c>
      <c r="H562" s="84"/>
    </row>
    <row r="563" spans="1:8" ht="12.75" customHeight="1">
      <c r="A563" s="78"/>
      <c r="B563" s="85"/>
      <c r="C563" s="62" t="str">
        <f>+'Cost of Salesa Expenses'!A345</f>
        <v>6822.02 - ຄ່າຫຼຸ້ຍຫ້ຽນ ອາຄານ, ສິ່ງປຸກສ້າງ  - ຄ່າໃຊ້ຈ່າຍການຂາຍການບໍລິການ</v>
      </c>
      <c r="D563" s="62" t="str">
        <f>+'Cost of Salesa Expenses'!B345</f>
        <v>6822.02 - Depreciation cost of buildings, construction materials - Cost of selling services</v>
      </c>
      <c r="E563" s="86"/>
      <c r="F563" s="86"/>
      <c r="G563" s="87"/>
      <c r="H563" s="84"/>
    </row>
    <row r="564" spans="1:8" ht="12.75" customHeight="1">
      <c r="A564" s="78"/>
      <c r="B564" s="85"/>
      <c r="C564" s="62" t="str">
        <f>+'Cost of Salesa Expenses'!A347</f>
        <v>6823 - ຄ່າຫຼຸ້ຍຫ້ຽນ ອຸປະກອນ ເຄື່ອງຈັກ</v>
      </c>
      <c r="D564" s="62" t="str">
        <f>+'Cost of Salesa Expenses'!B347</f>
        <v>6823 - Depreciation of machine equipment</v>
      </c>
      <c r="E564" s="86"/>
      <c r="F564" s="86"/>
      <c r="G564" s="87"/>
      <c r="H564" s="84"/>
    </row>
    <row r="565" spans="1:8" ht="12.75" customHeight="1">
      <c r="A565" s="78"/>
      <c r="B565" s="85"/>
      <c r="C565" s="62" t="str">
        <f>+'Cost of Salesa Expenses'!A349</f>
        <v>6823.02 - ຄ່າຫຼຸ້ຍຫ້ຽນ ອຸປະກອນ ເຄື່ອງຈັກ - ຄ່າໃຊ້ຈ່າຍການຂາຍການບໍລິການ</v>
      </c>
      <c r="D565" s="62" t="str">
        <f>+'Cost of Salesa Expenses'!B349</f>
        <v>6823.02 - Depreciation, Equipment, Machinery - Cost of selling services</v>
      </c>
      <c r="E565" s="86"/>
      <c r="F565" s="86"/>
      <c r="G565" s="87"/>
      <c r="H565" s="84"/>
    </row>
    <row r="566" spans="1:8" ht="12.75" customHeight="1">
      <c r="A566" s="78"/>
      <c r="B566" s="85"/>
      <c r="C566" s="62" t="str">
        <f>+'Cost of Salesa Expenses'!A351</f>
        <v>6824 - ຄ່າຫຼຸ້ຍຫ້ຽນ ພາຫະນະ</v>
      </c>
      <c r="D566" s="62" t="str">
        <f>+'Cost of Salesa Expenses'!B351</f>
        <v>6824 - Vehicle depreciation</v>
      </c>
      <c r="E566" s="86"/>
      <c r="F566" s="86"/>
      <c r="G566" s="87"/>
      <c r="H566" s="84"/>
    </row>
    <row r="567" spans="1:8" ht="12.75" customHeight="1">
      <c r="A567" s="78"/>
      <c r="B567" s="85"/>
      <c r="C567" s="62" t="str">
        <f>+'Cost of Salesa Expenses'!A353</f>
        <v>6824.02 - ຄ່າຫຼຸ້ຍຫ້ຽນ ພາຫະນະ - ຄ່າໃຊ້ຈ່າຍການຂາຍການບໍລິການ</v>
      </c>
      <c r="D567" s="62" t="str">
        <f>+'Cost of Salesa Expenses'!B353</f>
        <v>6824.02 - Vehicle depreciation - Cost of selling services</v>
      </c>
      <c r="E567" s="86"/>
      <c r="F567" s="86"/>
      <c r="G567" s="87"/>
      <c r="H567" s="84"/>
    </row>
    <row r="568" spans="1:8" ht="12.75" customHeight="1">
      <c r="A568" s="78"/>
      <c r="B568" s="85"/>
      <c r="C568" s="62" t="str">
        <f>+'Cost of Salesa Expenses'!A360</f>
        <v>6828.01 - ຄ່າຫຼຸ້ຍຫ້ຽນ ຊັບສົມບັດຄົງທີ ມີຕົວຕົນອື່ນໆ- ຕົ້ນທຶນການບໍລິການ</v>
      </c>
      <c r="D568" s="62" t="str">
        <f>+'Cost of Salesa Expenses'!B360</f>
        <v>6828.01 - Depreciation charges, other tangible assets - Service cost</v>
      </c>
      <c r="E568" s="86"/>
      <c r="F568" s="86"/>
      <c r="G568" s="87"/>
      <c r="H568" s="84"/>
    </row>
    <row r="569" spans="1:8" ht="12.75" customHeight="1">
      <c r="A569" s="78"/>
      <c r="B569" s="85"/>
      <c r="C569" s="62" t="str">
        <f>+'Cost of Salesa Expenses'!A361</f>
        <v>6828.02 - ຄ່າຫຼຸ້ຍຫ້ຽນ ຊັບສົມບັດຄົງທີ ມີຕົວຕົນອື່ນໆ  - ຄ່າໃຊ້ຈ່າຍການຂາຍການບໍລິການ</v>
      </c>
      <c r="D569" s="62" t="str">
        <f>+'Cost of Salesa Expenses'!B361</f>
        <v>6828.02 - Depreciation on other tangible assets - Cost of selling services</v>
      </c>
      <c r="E569" s="86"/>
      <c r="F569" s="86"/>
      <c r="G569" s="87"/>
      <c r="H569" s="84"/>
    </row>
    <row r="570" spans="1:8" ht="12.75" customHeight="1">
      <c r="A570" s="78"/>
      <c r="B570" s="85"/>
      <c r="C570" s="62" t="str">
        <f>+'Cost of Salesa Expenses'!A362</f>
        <v>6828.03 - ຄ່າຫຼຸ້ຍຫ້ຽນ  ຊັບສົມບັດຄົງທີ ມີຕົວຕົນອື່ນໆ - ຄ່າໃຊ້ຈ່າຍບໍລິຫານ</v>
      </c>
      <c r="D570" s="62" t="str">
        <f>+'Cost of Salesa Expenses'!B362</f>
        <v>6828.03 - Depreciation, other tangible assets - Administrative expenses</v>
      </c>
      <c r="E570" s="86"/>
      <c r="F570" s="86"/>
      <c r="G570" s="87"/>
      <c r="H570" s="84"/>
    </row>
    <row r="571" spans="1:8" ht="12.75" customHeight="1">
      <c r="A571" s="78"/>
      <c r="B571" s="85"/>
      <c r="C571" s="62" t="str">
        <f>+'Cost of Salesa Expenses'!A363</f>
        <v>683 - ຫັກ​ຄ່າ​ຫຼຸ້ຍ​ຫ້ຽນ ຊັບ​ສົມບັດ​ຄົງ​ທີ່​ ບໍ່​ມີ​ຕົວ​ຕົນ</v>
      </c>
      <c r="D571" s="62" t="str">
        <f>+'Cost of Salesa Expenses'!B363</f>
        <v>683 - Deduct depreciation on intangible fixed assets</v>
      </c>
      <c r="E571" s="86"/>
      <c r="F571" s="86"/>
      <c r="G571" s="87"/>
      <c r="H571" s="84"/>
    </row>
    <row r="572" spans="1:8" ht="12.75" customHeight="1">
      <c r="A572" s="78"/>
      <c r="B572" s="85"/>
      <c r="C572" s="62" t="str">
        <f>+'Cost of Salesa Expenses'!A364</f>
        <v>6831 - ຫັກ​ຄ່າ​ຫຼຸ້ຍ​ຫ້ຽນ ຊັບ​ສົມບັດ​ຄົງ​ທີ່​ ບໍ່​ມີ​ຕົວ​ຕົນ</v>
      </c>
      <c r="D572" s="62" t="str">
        <f>+'Cost of Salesa Expenses'!B364</f>
        <v>6831 - Deduct depreciation on intangible fixed assets</v>
      </c>
      <c r="E572" s="86"/>
      <c r="F572" s="86"/>
      <c r="G572" s="87"/>
      <c r="H572" s="84"/>
    </row>
    <row r="573" spans="1:8" ht="12.75" customHeight="1">
      <c r="A573" s="78"/>
      <c r="B573" s="85"/>
      <c r="C573" s="62"/>
      <c r="D573" s="62"/>
      <c r="E573" s="86"/>
      <c r="F573" s="86"/>
      <c r="G573" s="87"/>
      <c r="H573" s="84"/>
    </row>
    <row r="574" spans="1:8" ht="12.75" customHeight="1" thickBot="1">
      <c r="A574" s="78"/>
      <c r="B574" s="89"/>
      <c r="C574" s="90"/>
      <c r="D574" s="90"/>
      <c r="E574" s="91"/>
      <c r="F574" s="91"/>
      <c r="G574" s="92"/>
      <c r="H574" s="84"/>
    </row>
    <row r="575" spans="1:8" ht="12.75" customHeight="1" thickTop="1">
      <c r="A575" s="78"/>
      <c r="B575" s="132"/>
      <c r="C575" s="133"/>
      <c r="D575" s="133"/>
      <c r="E575" s="134"/>
      <c r="F575" s="134"/>
      <c r="G575" s="135"/>
      <c r="H575" s="84"/>
    </row>
    <row r="576" spans="1:8" ht="12.75" customHeight="1">
      <c r="A576" s="78"/>
      <c r="B576" s="64" t="s">
        <v>1176</v>
      </c>
      <c r="C576" s="62"/>
      <c r="D576" s="62"/>
      <c r="E576" s="86"/>
      <c r="F576" s="86"/>
      <c r="G576" s="87"/>
      <c r="H576" s="84"/>
    </row>
    <row r="577" spans="1:8" ht="12.75" customHeight="1">
      <c r="A577" s="78"/>
      <c r="B577" s="85"/>
      <c r="C577" s="62"/>
      <c r="D577" s="62" t="str">
        <f>+'Cost of Salesa Expenses'!B92</f>
        <v>614 - Care, maintenance and repair fees</v>
      </c>
      <c r="E577" s="86">
        <v>-15000000</v>
      </c>
      <c r="F577" s="86"/>
      <c r="G577" s="87">
        <v>-15000000</v>
      </c>
      <c r="H577" s="84"/>
    </row>
    <row r="578" spans="1:8" ht="12.75" customHeight="1">
      <c r="A578" s="78"/>
      <c r="B578" s="85"/>
      <c r="C578" s="62" t="str">
        <f>+'Cost of Salesa Expenses'!A93</f>
        <v>6141 - ຄ່າບົວລະບັດ, ບຳລຸງ​ຮັກສາ ​ແລະ ສ້ອມ​​ແປງ ຕຶກອາຄານ</v>
      </c>
      <c r="D578" s="62" t="str">
        <f>+'Cost of Salesa Expenses'!B93</f>
        <v>6141 - Cost of care, maintenance and repair of buildings</v>
      </c>
      <c r="E578" s="86"/>
      <c r="F578" s="86"/>
      <c r="G578" s="87"/>
      <c r="H578" s="84"/>
    </row>
    <row r="579" spans="1:8" ht="12.75" customHeight="1">
      <c r="A579" s="78"/>
      <c r="B579" s="85"/>
      <c r="C579" s="62" t="str">
        <f>+'Cost of Salesa Expenses'!A94</f>
        <v>6141.01 - ຄ່າບົວລະບັດ, ບຳລຸງ​ຮັກສາ ​ແລະ ສ້ອມ​​ແປງ ຕຶກອາຄານ - ຕົ້ນທຶນການບໍລິການ</v>
      </c>
      <c r="D579" s="62" t="str">
        <f>+'Cost of Salesa Expenses'!B94</f>
        <v>6141.01 - Cost of care, maintenance and repair of buildings - Service cost</v>
      </c>
      <c r="E579" s="86"/>
      <c r="F579" s="86"/>
      <c r="G579" s="87"/>
      <c r="H579" s="84"/>
    </row>
    <row r="580" spans="1:8" ht="12.75" customHeight="1">
      <c r="A580" s="78"/>
      <c r="B580" s="85"/>
      <c r="C580" s="62" t="str">
        <f>+'Cost of Salesa Expenses'!A95</f>
        <v>6141.02 - ຄ່າບົວລະບັດ, ບຳລຸງ​ຮັກສາ ​ແລະ ສ້ອມ​​ແປງ ຕຶກອາຄານ - ຄ່າໃຊ້ຈ່າຍການຂາຍການບໍລິການ</v>
      </c>
      <c r="D580" s="62" t="str">
        <f>+'Cost of Salesa Expenses'!B95</f>
        <v>6141.02 - Costs of care, maintenance and repair of buildings - Cost of selling services</v>
      </c>
      <c r="E580" s="86"/>
      <c r="F580" s="86"/>
      <c r="G580" s="87"/>
      <c r="H580" s="84"/>
    </row>
    <row r="581" spans="1:8" ht="12.75" customHeight="1">
      <c r="A581" s="78"/>
      <c r="B581" s="85"/>
      <c r="C581" s="62" t="str">
        <f>+'Cost of Salesa Expenses'!A96</f>
        <v>6141.03 - ຄ່າບົວລະບັດ, ບຳລຸງ​ຮັກສາ ​ແລະ ສ້ອມ​​ແປງ ຕຶກອາຄານ - ຄ່າໃຊ້ຈ່າຍບໍລິຫານ</v>
      </c>
      <c r="D581" s="62" t="str">
        <f>+'Cost of Salesa Expenses'!B96</f>
        <v>6141.03 - Building maintenance, repair and maintenance costs - Administrative costs</v>
      </c>
      <c r="E581" s="86"/>
      <c r="F581" s="86"/>
      <c r="G581" s="87"/>
      <c r="H581" s="84"/>
    </row>
    <row r="582" spans="1:8" ht="12.75" customHeight="1">
      <c r="A582" s="78"/>
      <c r="B582" s="85"/>
      <c r="C582" s="62" t="str">
        <f>+'Cost of Salesa Expenses'!A97</f>
        <v>6142 - ຄ່າບົວລະບັດ, ບຳລຸງ​ຮັກສາ ​ແລະ ສ້ອມ​​ແປງ ເຄື່ອງໃຊ້ຫ້ອງການ</v>
      </c>
      <c r="D582" s="62" t="str">
        <f>+'Cost of Salesa Expenses'!B97</f>
        <v>6142 - Cost of care, maintenance and repair of office equipment</v>
      </c>
      <c r="E582" s="86"/>
      <c r="F582" s="86"/>
      <c r="G582" s="87"/>
      <c r="H582" s="84"/>
    </row>
    <row r="583" spans="1:8">
      <c r="B583" s="136"/>
      <c r="C583" s="62" t="str">
        <f>+'Cost of Salesa Expenses'!A98</f>
        <v>6142.01 - ຄ່າບົວລະບັດ, ບຳລຸງ​ຮັກສາ ​ແລະ ສ້ອມ​​ແປງ ເຄື່ອງໃຊ້ຫ້ອງການ - ຕົ້ນທຶນການບໍລິການ</v>
      </c>
      <c r="D583" s="62" t="str">
        <f>+'Cost of Salesa Expenses'!B98</f>
        <v>6142.01 - Cost of care, maintenance and repair of office equipment - Service cost</v>
      </c>
      <c r="E583" s="143"/>
      <c r="F583" s="143"/>
      <c r="G583" s="144"/>
      <c r="H583" s="145"/>
    </row>
    <row r="584" spans="1:8" ht="12.75" customHeight="1">
      <c r="A584" s="78"/>
      <c r="B584" s="85"/>
      <c r="C584" s="62" t="str">
        <f>+'Cost of Salesa Expenses'!A99</f>
        <v>6142.02 - ຄ່າບົວລະບັດ, ບຳລຸງ​ຮັກສາ ​ແລະ ສ້ອມ​​ແປງ ເຄື່ອງໃຊ້ຫ້ອງການ - ຄ່າໃຊ້ຈ່າຍການຂາຍການບໍລິການ</v>
      </c>
      <c r="D584" s="62" t="str">
        <f>+'Cost of Salesa Expenses'!B99</f>
        <v>6142.02 - Cost of care, maintenance and repair of office equipment - Cost of selling services</v>
      </c>
      <c r="E584" s="86"/>
      <c r="F584" s="86"/>
      <c r="G584" s="87"/>
      <c r="H584" s="84"/>
    </row>
    <row r="585" spans="1:8" ht="12.75" customHeight="1">
      <c r="A585" s="78"/>
      <c r="B585" s="85"/>
      <c r="C585" s="62" t="str">
        <f>+'Cost of Salesa Expenses'!A100</f>
        <v>6142.03 - ຄ່າບົວລະບັດ, ບຳລຸງ​ຮັກສາ ​ແລະ ສ້ອມ​​ແປງ ເຄື່ອງໃຊ້ຫ້ອງການ - ຄ່າໃຊ້ຈ່າຍບໍລິຫານ</v>
      </c>
      <c r="D585" s="62" t="str">
        <f>+'Cost of Salesa Expenses'!B100</f>
        <v>6142.03 - Maintenance and repair of office equipment - Administrative expenses</v>
      </c>
      <c r="E585" s="86"/>
      <c r="F585" s="86"/>
      <c r="G585" s="87"/>
      <c r="H585" s="84"/>
    </row>
    <row r="586" spans="1:8" ht="12.75" customHeight="1">
      <c r="A586" s="78"/>
      <c r="B586" s="85"/>
      <c r="C586" s="62" t="str">
        <f>+'Cost of Salesa Expenses'!A101</f>
        <v>6143 - ຄ່າບົວລະບັດ, ບຳລຸງ​ຮັກສາ ​ແລະ ສ້ອມ​​ແປງ ລົດ</v>
      </c>
      <c r="D586" s="62" t="str">
        <f>+'Cost of Salesa Expenses'!B101</f>
        <v>6143 - Car care, maintenance and repair fees</v>
      </c>
      <c r="E586" s="86"/>
      <c r="F586" s="86"/>
      <c r="G586" s="87"/>
      <c r="H586" s="84"/>
    </row>
    <row r="587" spans="1:8" ht="12.75" customHeight="1">
      <c r="A587" s="78"/>
      <c r="B587" s="85"/>
      <c r="C587" s="62" t="str">
        <f>+'Cost of Salesa Expenses'!A102</f>
        <v>6143.01 - ຄ່າບົວລະບັດ, ບຳລຸງ​ຮັກສາ ​ແລະ ສ້ອມ​​ແປງ ລົດ - ຕົ້ນທຶນການບໍລິການ</v>
      </c>
      <c r="D587" s="62" t="str">
        <f>+'Cost of Salesa Expenses'!B102</f>
        <v>6143.01 - Car care, maintenance and repair costs - Service cost</v>
      </c>
      <c r="E587" s="86"/>
      <c r="F587" s="86"/>
      <c r="G587" s="87"/>
      <c r="H587" s="84"/>
    </row>
    <row r="588" spans="1:8" ht="12.75" customHeight="1">
      <c r="A588" s="78"/>
      <c r="B588" s="85"/>
      <c r="C588" s="62" t="str">
        <f>+'Cost of Salesa Expenses'!A103</f>
        <v>6143.02 - ຄ່າບົວລະບັດ, ບຳລຸງ​ຮັກສາ ​ແລະ ສ້ອມ​​ແປງ ລົດ -ຄ່າໃຊ້ຈ່າຍການຂາຍການບໍລິການ</v>
      </c>
      <c r="D588" s="62" t="str">
        <f>+'Cost of Salesa Expenses'!B103</f>
        <v>6143.02 - Cost of care, maintenance and repair of car - Cost of selling services</v>
      </c>
      <c r="E588" s="86"/>
      <c r="F588" s="86"/>
      <c r="G588" s="87"/>
      <c r="H588" s="84"/>
    </row>
    <row r="589" spans="1:8" ht="12.75" customHeight="1">
      <c r="A589" s="78"/>
      <c r="B589" s="85"/>
      <c r="C589" s="62" t="str">
        <f>+'Cost of Salesa Expenses'!A104</f>
        <v>6143.03 - ຄ່າບົວລະບັດ, ບຳລຸງ​ຮັກສາ ​ແລະ ສ້ອມ​​ແປງ ລົດ -ຄ່າໃຊ້ຈ່າຍບໍລິຫານ</v>
      </c>
      <c r="D589" s="62" t="str">
        <f>+'Cost of Salesa Expenses'!B104</f>
        <v>6143.03 - Car care, maintenance and repair costs - administrative costs</v>
      </c>
      <c r="E589" s="86"/>
      <c r="F589" s="86"/>
      <c r="G589" s="87"/>
      <c r="H589" s="84"/>
    </row>
    <row r="590" spans="1:8" ht="12.75" customHeight="1">
      <c r="A590" s="78"/>
      <c r="B590" s="85"/>
      <c r="C590" s="62" t="str">
        <f>+'Cost of Salesa Expenses'!A105</f>
        <v>6144 - ຄ່າບົວລະບັດ, ບຳລຸງ​ຮັກສາ ​ແລະ ສ້ອມ​​ແປງ ອຸປະກອນເຄື່ອງຈັກ</v>
      </c>
      <c r="D590" s="62" t="str">
        <f>+'Cost of Salesa Expenses'!B105</f>
        <v>6144 - Cost of care, maintenance and repair of machine equipment</v>
      </c>
      <c r="E590" s="86"/>
      <c r="F590" s="86"/>
      <c r="G590" s="87"/>
      <c r="H590" s="84"/>
    </row>
    <row r="591" spans="1:8" ht="12.75" customHeight="1">
      <c r="A591" s="78"/>
      <c r="B591" s="85"/>
      <c r="C591" s="62" t="str">
        <f>+'Cost of Salesa Expenses'!A106</f>
        <v>6144.01 - ຄ່າບົວລະບັດ, ບຳລຸງ​ຮັກສາ ​ແລະ ສ້ອມ​​ແປງ ອຸປະກອນເຄື່ອງຈັກ -ຕົ້ນທຶນການບໍລິການ</v>
      </c>
      <c r="D591" s="62" t="str">
        <f>+'Cost of Salesa Expenses'!B106</f>
        <v>6144.01 - Cost of care, maintenance and repair of machine equipment - Cost of service</v>
      </c>
      <c r="E591" s="86"/>
      <c r="F591" s="86"/>
      <c r="G591" s="87"/>
      <c r="H591" s="84"/>
    </row>
    <row r="592" spans="1:8" ht="12.75" customHeight="1">
      <c r="A592" s="78"/>
      <c r="B592" s="85"/>
      <c r="C592" s="62" t="str">
        <f>+'Cost of Salesa Expenses'!A107</f>
        <v>6144.02 - ຄ່າບົວລະບັດ, ບຳລຸງ​ຮັກສາ ​ແລະ ສ້ອມ​​ແປງ ອຸປະກອນເຄື່ອງຈັກ- -ຄ່າໃຊ້ຈ່າຍການຂາຍການບໍລິການ</v>
      </c>
      <c r="D592" s="62" t="str">
        <f>+'Cost of Salesa Expenses'!B107</f>
        <v>6144.02 - Cost of care, maintenance and repair of machine equipment - -Cost of selling services</v>
      </c>
      <c r="E592" s="86"/>
      <c r="F592" s="86"/>
      <c r="G592" s="87"/>
      <c r="H592" s="84"/>
    </row>
    <row r="593" spans="1:8" ht="12.75" customHeight="1">
      <c r="A593" s="78"/>
      <c r="B593" s="85"/>
      <c r="C593" s="62" t="str">
        <f>+'Cost of Salesa Expenses'!A108</f>
        <v>6144.03 - ຄ່າບົວລະບັດ, ບຳລຸງ​ຮັກສາ ​ແລະ ສ້ອມ​​ແປງ ອຸປະກອນເຄື່ອງຈັກ--ຄ່າໃຊ້ຈ່າຍບໍລິຫານ</v>
      </c>
      <c r="D593" s="62" t="str">
        <f>+'Cost of Salesa Expenses'!B108</f>
        <v>6144.03 - Maintenance, maintenance and repair of machinery and equipment--Administrative expenses</v>
      </c>
      <c r="E593" s="86"/>
      <c r="F593" s="86"/>
      <c r="G593" s="87"/>
      <c r="H593" s="84"/>
    </row>
    <row r="594" spans="1:8" ht="12.75" customHeight="1" thickBot="1">
      <c r="A594" s="78"/>
      <c r="B594" s="89"/>
      <c r="C594" s="90" t="str">
        <f>+'Cost of Salesa Expenses'!A109</f>
        <v>615 - ຄ່າ​ທຳ​ນຽມປະ​ກັນ​ໄພ</v>
      </c>
      <c r="D594" s="90"/>
      <c r="E594" s="91"/>
      <c r="F594" s="91"/>
      <c r="G594" s="92"/>
      <c r="H594" s="84"/>
    </row>
    <row r="595" spans="1:8" ht="12.75" customHeight="1" thickTop="1">
      <c r="A595" s="78"/>
      <c r="B595" s="132"/>
      <c r="C595" s="133"/>
      <c r="D595" s="133"/>
      <c r="E595" s="134"/>
      <c r="F595" s="134"/>
      <c r="G595" s="135"/>
      <c r="H595" s="84"/>
    </row>
    <row r="596" spans="1:8" ht="12.75" customHeight="1">
      <c r="A596" s="78"/>
      <c r="B596" s="64" t="s">
        <v>1177</v>
      </c>
      <c r="C596" s="62"/>
      <c r="D596" s="62"/>
      <c r="E596" s="86"/>
      <c r="F596" s="86"/>
      <c r="G596" s="87"/>
      <c r="H596" s="84"/>
    </row>
    <row r="597" spans="1:8" ht="12.75" customHeight="1">
      <c r="A597" s="78"/>
      <c r="B597" s="85"/>
      <c r="C597" s="62" t="str">
        <f>+'Cost of Salesa Expenses'!A143</f>
        <v>622 - ຄ່າ​ໂຄສະນາ​, ລົງ​ຂ່າວ, ໜັງສື​ພີ​ມ-ຈັດ​ພິມ, ​ປະຊາສຳພັນ</v>
      </c>
      <c r="D597" s="62" t="str">
        <f>+'Cost of Salesa Expenses'!B143</f>
        <v>622 - Cost of advertising, publishing, publication, public relations</v>
      </c>
      <c r="E597" s="86">
        <v>-15000000</v>
      </c>
      <c r="F597" s="86"/>
      <c r="G597" s="87">
        <v>-15000000</v>
      </c>
      <c r="H597" s="84"/>
    </row>
    <row r="598" spans="1:8" ht="12.75" customHeight="1">
      <c r="A598" s="78"/>
      <c r="B598" s="85"/>
      <c r="C598" s="62" t="str">
        <f>+'Cost of Salesa Expenses'!A144</f>
        <v>6221 - ຄ່າ​ໂຄສະນາ​, ລົງ​ຂ່າວ, ໜັງສື​ພີ​ມ-ຈັດ​ພິມ, ​ປະຊາສຳພັນ</v>
      </c>
      <c r="D598" s="62" t="str">
        <f>+'Cost of Salesa Expenses'!B144</f>
        <v>6221 - Cost of advertising, publishing, publishing, public relations</v>
      </c>
      <c r="E598" s="86"/>
      <c r="F598" s="86"/>
      <c r="G598" s="87"/>
      <c r="H598" s="84"/>
    </row>
    <row r="599" spans="1:8" ht="12.75" customHeight="1">
      <c r="A599" s="78"/>
      <c r="B599" s="85"/>
      <c r="C599" s="62" t="str">
        <f>+'Cost of Salesa Expenses'!A145</f>
        <v>6221.01 - ຄ່າ​ໂຄສະນາ​, ລົງ​ຂ່າວ, ໜັງສື​ພີ​ມ-ຈັດ​ພິມ, ​ປະຊາສຳພັນ -ຕົ້ນທຶນການບໍລິການ</v>
      </c>
      <c r="D599" s="62" t="str">
        <f>+'Cost of Salesa Expenses'!B145</f>
        <v>6221.01 - Cost of advertising, publishing, publication, public relations - cost of services</v>
      </c>
      <c r="E599" s="86"/>
      <c r="F599" s="86"/>
      <c r="G599" s="87"/>
      <c r="H599" s="84"/>
    </row>
    <row r="600" spans="1:8" ht="12.75" customHeight="1">
      <c r="A600" s="78"/>
      <c r="B600" s="85"/>
      <c r="C600" s="62" t="str">
        <f>+'Cost of Salesa Expenses'!A146</f>
        <v>6221.02 - ຄ່າ​ໂຄສະນາ​, ລົງ​ຂ່າວ, ໜັງສື​ພີ​ມ-ຈັດ​ພິມ, ​ປະຊາສຳພັນ- ຄ່າໃຊ້ຈ່າຍການຂາຍການບໍລິການ</v>
      </c>
      <c r="D600" s="62" t="str">
        <f>+'Cost of Salesa Expenses'!B146</f>
        <v>6221.02 - Cost of advertising, publishing, publication, public relations - cost of selling services</v>
      </c>
      <c r="E600" s="86"/>
      <c r="F600" s="86"/>
      <c r="G600" s="87"/>
      <c r="H600" s="84"/>
    </row>
    <row r="601" spans="1:8" ht="12.75" customHeight="1">
      <c r="A601" s="78"/>
      <c r="B601" s="85"/>
      <c r="C601" s="62" t="str">
        <f>+'Cost of Salesa Expenses'!A147</f>
        <v>6221.03 - ຄ່າ​ໂຄສະນາ​, ລົງ​ຂ່າວ, ໜັງສື​ພີ​ມ-ຈັດ​ພິມ, ​ປະຊາສຳພັນ - ຄ່າໃຊ້ຈ່າຍບໍລິຫານ</v>
      </c>
      <c r="D601" s="62" t="str">
        <f>+'Cost of Salesa Expenses'!B147</f>
        <v>6221.03 - Advertising, publishing, publication, public relations - administrative expenses</v>
      </c>
      <c r="E601" s="86"/>
      <c r="F601" s="86"/>
      <c r="G601" s="87"/>
      <c r="H601" s="84"/>
    </row>
    <row r="602" spans="1:8" ht="12.75" customHeight="1">
      <c r="A602" s="78"/>
      <c r="B602" s="85"/>
      <c r="C602" s="62"/>
      <c r="D602" s="62"/>
      <c r="E602" s="86"/>
      <c r="F602" s="86"/>
      <c r="G602" s="87"/>
      <c r="H602" s="84"/>
    </row>
    <row r="603" spans="1:8" ht="12.75" customHeight="1" thickBot="1">
      <c r="A603" s="78"/>
      <c r="B603" s="89"/>
      <c r="C603" s="90"/>
      <c r="D603" s="90"/>
      <c r="E603" s="91"/>
      <c r="F603" s="91"/>
      <c r="G603" s="92"/>
      <c r="H603" s="84"/>
    </row>
    <row r="604" spans="1:8" ht="12.75" customHeight="1" thickTop="1">
      <c r="A604" s="78"/>
      <c r="B604" s="80"/>
      <c r="C604" s="81"/>
      <c r="D604" s="81"/>
      <c r="E604" s="82"/>
      <c r="F604" s="82"/>
      <c r="G604" s="146"/>
      <c r="H604" s="74"/>
    </row>
    <row r="605" spans="1:8" ht="12.75" customHeight="1">
      <c r="A605" s="78"/>
      <c r="B605" s="64" t="s">
        <v>1197</v>
      </c>
      <c r="C605" s="147"/>
      <c r="D605" s="62"/>
      <c r="E605" s="86"/>
      <c r="F605" s="86"/>
      <c r="G605" s="148"/>
      <c r="H605" s="74"/>
    </row>
    <row r="606" spans="1:8" ht="12.75" customHeight="1">
      <c r="A606" s="78"/>
      <c r="B606" s="85"/>
      <c r="C606" s="62" t="str">
        <f>+'Cost of Salesa Expenses'!A23</f>
        <v>6311.03</v>
      </c>
      <c r="D606" s="62">
        <f>+'Cost of Salesa Expenses'!B23</f>
        <v>41001005</v>
      </c>
      <c r="E606" s="86">
        <v>-15000000</v>
      </c>
      <c r="F606" s="86"/>
      <c r="G606" s="87">
        <v>-15000000</v>
      </c>
      <c r="H606" s="74"/>
    </row>
    <row r="607" spans="1:8" ht="12.75" customHeight="1">
      <c r="A607" s="78"/>
      <c r="B607" s="85"/>
      <c r="C607" s="62" t="str">
        <f>+'Cost of Salesa Expenses'!A24</f>
        <v>6311.03</v>
      </c>
      <c r="D607" s="62">
        <f>+'Cost of Salesa Expenses'!B24</f>
        <v>3633002</v>
      </c>
      <c r="E607" s="86"/>
      <c r="F607" s="86"/>
      <c r="G607" s="148"/>
      <c r="H607" s="74"/>
    </row>
    <row r="608" spans="1:8" ht="12.75" customHeight="1">
      <c r="A608" s="78"/>
      <c r="B608" s="85"/>
      <c r="C608" s="62" t="str">
        <f>+'Cost of Salesa Expenses'!A25</f>
        <v>6311.03</v>
      </c>
      <c r="D608" s="62">
        <f>+'Cost of Salesa Expenses'!B25</f>
        <v>247500</v>
      </c>
      <c r="E608" s="86"/>
      <c r="F608" s="86"/>
      <c r="G608" s="148"/>
      <c r="H608" s="74"/>
    </row>
    <row r="609" spans="1:8" ht="12.75" customHeight="1">
      <c r="A609" s="78"/>
      <c r="B609" s="85"/>
      <c r="C609" s="62" t="str">
        <f>+'Cost of Salesa Expenses'!A26</f>
        <v>6311.03</v>
      </c>
      <c r="D609" s="62">
        <f>+'Cost of Salesa Expenses'!B26</f>
        <v>340919225</v>
      </c>
      <c r="E609" s="86"/>
      <c r="F609" s="86"/>
      <c r="G609" s="148"/>
      <c r="H609" s="74"/>
    </row>
    <row r="610" spans="1:8" ht="12.75" customHeight="1" thickBot="1">
      <c r="A610" s="78"/>
      <c r="B610" s="89"/>
      <c r="C610" s="149"/>
      <c r="D610" s="100"/>
      <c r="E610" s="101"/>
      <c r="F610" s="101"/>
      <c r="G610" s="150"/>
      <c r="H610" s="74"/>
    </row>
    <row r="611" spans="1:8" ht="12.75" customHeight="1" thickTop="1">
      <c r="A611" s="78"/>
      <c r="B611" s="151" t="s">
        <v>1205</v>
      </c>
      <c r="C611" s="152"/>
      <c r="D611" s="81"/>
      <c r="E611" s="82"/>
      <c r="F611" s="82"/>
      <c r="G611" s="83"/>
      <c r="H611" s="84"/>
    </row>
    <row r="612" spans="1:8" ht="12.75" customHeight="1">
      <c r="A612" s="78"/>
      <c r="B612" s="85"/>
      <c r="C612" s="137"/>
      <c r="D612" s="62"/>
      <c r="E612" s="86"/>
      <c r="F612" s="86"/>
      <c r="G612" s="87"/>
      <c r="H612" s="84"/>
    </row>
    <row r="613" spans="1:8" ht="12.75" customHeight="1">
      <c r="A613" s="78"/>
      <c r="B613" s="85"/>
      <c r="C613" s="62" t="str">
        <f>+'Cost of Salesa Expenses'!A27</f>
        <v>6311.03</v>
      </c>
      <c r="D613" s="62">
        <f>+'Cost of Salesa Expenses'!B27</f>
        <v>1067411891</v>
      </c>
      <c r="E613" s="86">
        <v>-15000000</v>
      </c>
      <c r="F613" s="86"/>
      <c r="G613" s="87">
        <v>-15000000</v>
      </c>
      <c r="H613" s="84"/>
    </row>
    <row r="614" spans="1:8" ht="12.75" customHeight="1">
      <c r="A614" s="78"/>
      <c r="B614" s="85"/>
      <c r="C614" s="62" t="str">
        <f>+'Cost of Salesa Expenses'!A28</f>
        <v>6311.03</v>
      </c>
      <c r="D614" s="62">
        <f>+'Cost of Salesa Expenses'!B28</f>
        <v>122190479</v>
      </c>
      <c r="E614" s="86"/>
      <c r="F614" s="86"/>
      <c r="G614" s="87"/>
      <c r="H614" s="84"/>
    </row>
    <row r="615" spans="1:8" ht="12.75" customHeight="1">
      <c r="A615" s="78"/>
      <c r="B615" s="85"/>
      <c r="C615" s="62" t="str">
        <f>+'Cost of Salesa Expenses'!A29</f>
        <v>6311.03</v>
      </c>
      <c r="D615" s="62">
        <f>+'Cost of Salesa Expenses'!B29</f>
        <v>28218258</v>
      </c>
      <c r="E615" s="86"/>
      <c r="F615" s="86"/>
      <c r="G615" s="87"/>
      <c r="H615" s="84"/>
    </row>
    <row r="616" spans="1:8" ht="12.75" customHeight="1">
      <c r="A616" s="78"/>
      <c r="B616" s="85"/>
      <c r="C616" s="62" t="str">
        <f>+'Cost of Salesa Expenses'!A30</f>
        <v>6311.03</v>
      </c>
      <c r="D616" s="62">
        <f>+'Cost of Salesa Expenses'!B30</f>
        <v>28218258</v>
      </c>
      <c r="E616" s="86"/>
      <c r="F616" s="86"/>
      <c r="G616" s="87"/>
      <c r="H616" s="84"/>
    </row>
    <row r="617" spans="1:8" ht="12.75" customHeight="1" thickBot="1">
      <c r="A617" s="78"/>
      <c r="B617" s="89"/>
      <c r="C617" s="90"/>
      <c r="D617" s="90"/>
      <c r="E617" s="91"/>
      <c r="F617" s="91"/>
      <c r="G617" s="92"/>
      <c r="H617" s="84"/>
    </row>
    <row r="618" spans="1:8" ht="12.75" customHeight="1" thickTop="1">
      <c r="A618" s="78"/>
      <c r="B618" s="132"/>
      <c r="C618" s="133"/>
      <c r="D618" s="133"/>
      <c r="E618" s="134"/>
      <c r="F618" s="134"/>
      <c r="G618" s="153"/>
      <c r="H618" s="74"/>
    </row>
    <row r="619" spans="1:8" ht="12.75" customHeight="1">
      <c r="A619" s="78"/>
      <c r="B619" s="64" t="s">
        <v>1204</v>
      </c>
      <c r="C619" s="65"/>
      <c r="D619" s="62"/>
      <c r="E619" s="86"/>
      <c r="F619" s="86"/>
      <c r="G619" s="148"/>
      <c r="H619" s="74"/>
    </row>
    <row r="620" spans="1:8" ht="12.75" customHeight="1">
      <c r="A620" s="78"/>
      <c r="B620" s="85"/>
      <c r="C620" s="62" t="str">
        <f>+'Cost of Salesa Expenses'!A109</f>
        <v>615 - ຄ່າ​ທຳ​ນຽມປະ​ກັນ​ໄພ</v>
      </c>
      <c r="D620" s="62" t="str">
        <f>+'Cost of Salesa Expenses'!B109</f>
        <v>615 - Insurance fee</v>
      </c>
      <c r="E620" s="86">
        <v>-15000000</v>
      </c>
      <c r="F620" s="86"/>
      <c r="G620" s="87">
        <v>-15000000</v>
      </c>
      <c r="H620" s="74"/>
    </row>
    <row r="621" spans="1:8" ht="12.75" customHeight="1">
      <c r="A621" s="78"/>
      <c r="B621" s="85"/>
      <c r="C621" s="62" t="str">
        <f>+'Cost of Salesa Expenses'!A110</f>
        <v>6151 - ຄ່າ​ທຳ​ນຽມປະ​ກັນ​ໄພ ພາຫະນະ</v>
      </c>
      <c r="D621" s="62" t="str">
        <f>+'Cost of Salesa Expenses'!B110</f>
        <v>6151 - Vehicle insurance fee</v>
      </c>
      <c r="E621" s="86"/>
      <c r="F621" s="86"/>
      <c r="G621" s="148"/>
      <c r="H621" s="74"/>
    </row>
    <row r="622" spans="1:8" ht="12.75" customHeight="1">
      <c r="A622" s="78"/>
      <c r="B622" s="85"/>
      <c r="C622" s="62" t="str">
        <f>+'Cost of Salesa Expenses'!A111</f>
        <v>6151.01 - ຄ່າ​ທຳ​ນຽມປະ​ກັນ​ໄພ ພາຫະນະ - ຕົ້ນທຶນການບໍລິການ</v>
      </c>
      <c r="D622" s="62" t="str">
        <f>+'Cost of Salesa Expenses'!B111</f>
        <v>6151.01 - Vehicle insurance fee - Service cost</v>
      </c>
      <c r="E622" s="86"/>
      <c r="F622" s="86"/>
      <c r="G622" s="148"/>
      <c r="H622" s="74"/>
    </row>
    <row r="623" spans="1:8" ht="12.75" customHeight="1">
      <c r="A623" s="78"/>
      <c r="B623" s="85"/>
      <c r="C623" s="62" t="str">
        <f>+'Cost of Salesa Expenses'!A112</f>
        <v>6151.02 - ຄ່າ​ທຳ​ນຽມປະ​ກັນ​ໄພ ພາຫະນະ - ຄ່າໃຊ້ຈ່າຍການຂາຍການບໍລິການ</v>
      </c>
      <c r="D623" s="62" t="str">
        <f>+'Cost of Salesa Expenses'!B112</f>
        <v>6151.02 - Vehicle insurance fee - Cost of selling service</v>
      </c>
      <c r="E623" s="86"/>
      <c r="F623" s="86"/>
      <c r="G623" s="148"/>
      <c r="H623" s="74"/>
    </row>
    <row r="624" spans="1:8" ht="12.75" customHeight="1">
      <c r="A624" s="78"/>
      <c r="B624" s="85"/>
      <c r="C624" s="62" t="str">
        <f>+'Cost of Salesa Expenses'!A113</f>
        <v>6151.03 - ຄ່າ​ທຳ​ນຽມປະ​ກັນ​ໄພ ພາຫະນະ - ຄ່າໃຊ້ຈ່າຍບໍລິຫານ</v>
      </c>
      <c r="D624" s="62" t="str">
        <f>+'Cost of Salesa Expenses'!B113</f>
        <v>6151.03 - Vehicle insurance fee - Administrative expenses</v>
      </c>
      <c r="E624" s="86"/>
      <c r="F624" s="86"/>
      <c r="G624" s="148"/>
      <c r="H624" s="74"/>
    </row>
    <row r="625" spans="1:8" ht="12.75" customHeight="1">
      <c r="A625" s="78"/>
      <c r="B625" s="85"/>
      <c r="C625" s="62" t="str">
        <f>+'Cost of Salesa Expenses'!A114</f>
        <v>6152 - ຄ່າ​ທຳ​ນຽມປະ​ກັນ​ໄພ ຕຶກອາຄານ</v>
      </c>
      <c r="D625" s="62" t="str">
        <f>+'Cost of Salesa Expenses'!B114</f>
        <v>6152 - Building insurance fee</v>
      </c>
      <c r="E625" s="86"/>
      <c r="F625" s="86"/>
      <c r="G625" s="148"/>
      <c r="H625" s="74"/>
    </row>
    <row r="626" spans="1:8" ht="12.75" customHeight="1">
      <c r="A626" s="78"/>
      <c r="B626" s="85"/>
      <c r="C626" s="62" t="str">
        <f>+'Cost of Salesa Expenses'!A115</f>
        <v>6152.01 - ຄ່າ​ທຳ​ນຽມປະ​ກັນ​ໄພ ຕຶກອາຄານ - ຕົ້ນທຶນການບໍລິການ</v>
      </c>
      <c r="D626" s="62" t="str">
        <f>+'Cost of Salesa Expenses'!B115</f>
        <v>6152.01 - Building insurance fee - Service cost</v>
      </c>
      <c r="E626" s="86"/>
      <c r="F626" s="86"/>
      <c r="G626" s="148"/>
      <c r="H626" s="74"/>
    </row>
    <row r="627" spans="1:8" ht="12.75" customHeight="1">
      <c r="A627" s="78"/>
      <c r="B627" s="85"/>
      <c r="C627" s="62" t="str">
        <f>+'Cost of Salesa Expenses'!A116</f>
        <v>6152.02 - ຄ່າ​ທຳ​ນຽມປະ​ກັນ​ໄພ ຕຶກອາຄານ - ຄ່າໃຊ້ຈ່າຍການຂາຍການບໍລິການ</v>
      </c>
      <c r="D627" s="62" t="str">
        <f>+'Cost of Salesa Expenses'!B116</f>
        <v>6152.02 - Building insurance fee - Cost of selling services</v>
      </c>
      <c r="E627" s="86"/>
      <c r="F627" s="86"/>
      <c r="G627" s="148"/>
      <c r="H627" s="74"/>
    </row>
    <row r="628" spans="1:8" ht="12.75" customHeight="1">
      <c r="A628" s="78"/>
      <c r="B628" s="85"/>
      <c r="C628" s="62" t="str">
        <f>+'Cost of Salesa Expenses'!A117</f>
        <v>6152.03 - ຄ່າ​ທຳ​ນຽມປະ​ກັນ​ໄພ ຕຶກອາຄານ - ຄ່າໃຊ້ຈ່າຍບໍລິຫານ</v>
      </c>
      <c r="D628" s="62" t="str">
        <f>+'Cost of Salesa Expenses'!B117</f>
        <v>6152.03 - Building insurance fee - Administrative expenses</v>
      </c>
      <c r="E628" s="86"/>
      <c r="F628" s="86"/>
      <c r="G628" s="148"/>
      <c r="H628" s="74"/>
    </row>
    <row r="629" spans="1:8" ht="12.75" customHeight="1">
      <c r="A629" s="78"/>
      <c r="B629" s="85"/>
      <c r="C629" s="62" t="str">
        <f>+'Cost of Salesa Expenses'!A118</f>
        <v>6153 - ຄ່າ​ທຳ​ນຽມປະ​ກັນ​ໄພ ວັດຖຸ ອຸປະກອນ</v>
      </c>
      <c r="D629" s="62" t="str">
        <f>+'Cost of Salesa Expenses'!B118</f>
        <v>6153 - Material and equipment insurance fee</v>
      </c>
      <c r="E629" s="86"/>
      <c r="F629" s="86"/>
      <c r="G629" s="148"/>
      <c r="H629" s="74"/>
    </row>
    <row r="630" spans="1:8" ht="12.75" customHeight="1">
      <c r="A630" s="78"/>
      <c r="B630" s="85"/>
      <c r="C630" s="62" t="str">
        <f>+'Cost of Salesa Expenses'!A119</f>
        <v>6153.01 - ຄ່າ​ທຳ​ນຽມປະ​ກັນ​ໄພ ວັດຖຸ ອຸປະກອນ - ຕົ້ນທຶນການບໍລິການ</v>
      </c>
      <c r="D630" s="62" t="str">
        <f>+'Cost of Salesa Expenses'!B119</f>
        <v>6153.01 - Insurance fee, material, equipment - service cost</v>
      </c>
      <c r="E630" s="86"/>
      <c r="F630" s="86"/>
      <c r="G630" s="148"/>
      <c r="H630" s="74"/>
    </row>
    <row r="631" spans="1:8" ht="12.75" customHeight="1">
      <c r="A631" s="78"/>
      <c r="B631" s="85"/>
      <c r="C631" s="62" t="str">
        <f>+'Cost of Salesa Expenses'!A120</f>
        <v>6153.02 - ຄ່າ​ທຳ​ນຽມປະ​ກັນ​ໄພ ວັດຖຸ ອຸປະກອນ - ຄ່າໃຊ້ຈ່າຍການຂາຍການບໍລິການ</v>
      </c>
      <c r="D631" s="62" t="str">
        <f>+'Cost of Salesa Expenses'!B120</f>
        <v>6153.02 - Insurance fees for materials, equipment - Cost of selling services</v>
      </c>
      <c r="E631" s="86"/>
      <c r="F631" s="86"/>
      <c r="G631" s="148"/>
      <c r="H631" s="74"/>
    </row>
    <row r="632" spans="1:8" ht="12.75" customHeight="1">
      <c r="A632" s="78"/>
      <c r="B632" s="85"/>
      <c r="C632" s="62" t="str">
        <f>+'Cost of Salesa Expenses'!A121</f>
        <v>6153.03 - ຄ່າ​ທຳ​ນຽມປະ​ກັນ​ໄພ ວັດຖຸ ອຸປະກອນ - ຄ່າໃຊ້ຈ່າຍບໍລິຫານ</v>
      </c>
      <c r="D632" s="62" t="str">
        <f>+'Cost of Salesa Expenses'!B121</f>
        <v>6153.03 - Insurance fees, materials, equipment - Administrative expenses</v>
      </c>
      <c r="E632" s="86"/>
      <c r="F632" s="86"/>
      <c r="G632" s="148"/>
      <c r="H632" s="74"/>
    </row>
    <row r="633" spans="1:8" ht="12.75" customHeight="1" thickBot="1">
      <c r="A633" s="78"/>
      <c r="B633" s="99"/>
      <c r="C633" s="100"/>
      <c r="D633" s="100"/>
      <c r="E633" s="101"/>
      <c r="F633" s="101"/>
      <c r="G633" s="150"/>
      <c r="H633" s="74"/>
    </row>
    <row r="634" spans="1:8" s="105" customFormat="1" ht="12.75" customHeight="1" thickTop="1">
      <c r="A634" s="67"/>
      <c r="B634" s="154" t="s">
        <v>1200</v>
      </c>
      <c r="C634" s="155"/>
      <c r="D634" s="110"/>
      <c r="E634" s="111"/>
      <c r="F634" s="111"/>
      <c r="G634" s="112"/>
      <c r="H634" s="113"/>
    </row>
    <row r="635" spans="1:8" ht="12.75" customHeight="1">
      <c r="A635" s="78"/>
      <c r="B635" s="85"/>
      <c r="C635" s="62" t="str">
        <f>+'Cost of Salesa Expenses'!A170</f>
        <v>625 - ຄ່າ​ເດີນທາງ, ກອງ​ປະຊຸມ, ຮັບ​ແຂກ</v>
      </c>
      <c r="D635" s="62" t="str">
        <f>+'Cost of Salesa Expenses'!B170</f>
        <v>625 - Travel expenses, meetings, receiving guests</v>
      </c>
      <c r="E635" s="86">
        <v>-15000000</v>
      </c>
      <c r="F635" s="86"/>
      <c r="G635" s="87">
        <v>-15000000</v>
      </c>
      <c r="H635" s="84"/>
    </row>
    <row r="636" spans="1:8" ht="12.75" customHeight="1">
      <c r="A636" s="78"/>
      <c r="B636" s="85"/>
      <c r="C636" s="62" t="str">
        <f>+'Cost of Salesa Expenses'!A171</f>
        <v>6251 - ຄ່າ​ເດີນທາງ,</v>
      </c>
      <c r="D636" s="62" t="str">
        <f>+'Cost of Salesa Expenses'!B171</f>
        <v>6251 - Travel expenses,</v>
      </c>
      <c r="E636" s="86"/>
      <c r="F636" s="86"/>
      <c r="G636" s="87"/>
      <c r="H636" s="84"/>
    </row>
    <row r="637" spans="1:8" ht="12.75" customHeight="1">
      <c r="A637" s="78"/>
      <c r="B637" s="85"/>
      <c r="C637" s="62" t="str">
        <f>+'Cost of Salesa Expenses'!A172</f>
        <v>6251.01 - ຄ່າ​ເດີນທາງ - ຕົ້ນທຶນການບໍລິການ</v>
      </c>
      <c r="D637" s="62" t="str">
        <f>+'Cost of Salesa Expenses'!B172</f>
        <v>6251.01 - Travel expenses - Service cost</v>
      </c>
      <c r="E637" s="86"/>
      <c r="F637" s="86"/>
      <c r="G637" s="87"/>
      <c r="H637" s="84"/>
    </row>
    <row r="638" spans="1:8" ht="12.75" customHeight="1">
      <c r="A638" s="78"/>
      <c r="B638" s="85"/>
      <c r="C638" s="62" t="str">
        <f>+'Cost of Salesa Expenses'!A173</f>
        <v>6251.02 - ຄ່າ​ເດີນທາງ - ຄ່າໃຊ້ຈ່າຍການຂາຍການບໍລິການ</v>
      </c>
      <c r="D638" s="62" t="str">
        <f>+'Cost of Salesa Expenses'!B173</f>
        <v>6251.02 - Travel expenses - Service sales expenses</v>
      </c>
      <c r="E638" s="86"/>
      <c r="F638" s="86"/>
      <c r="G638" s="87"/>
      <c r="H638" s="84"/>
    </row>
    <row r="639" spans="1:8" ht="12.75" customHeight="1">
      <c r="A639" s="78"/>
      <c r="B639" s="85"/>
      <c r="C639" s="62" t="str">
        <f>+'Cost of Salesa Expenses'!A174</f>
        <v>6251.03 - ຄ່າ​ເດີນທາງ - ຄ່າໃຊ້ຈ່າຍບໍລິຫານ</v>
      </c>
      <c r="D639" s="62" t="str">
        <f>+'Cost of Salesa Expenses'!B174</f>
        <v>6251.03 - Travel expenses - Administrative expenses</v>
      </c>
      <c r="E639" s="86"/>
      <c r="F639" s="86"/>
      <c r="G639" s="87"/>
      <c r="H639" s="84"/>
    </row>
    <row r="640" spans="1:8" ht="12.75" customHeight="1">
      <c r="A640" s="78"/>
      <c r="B640" s="85"/>
      <c r="C640" s="62"/>
      <c r="D640" s="62"/>
      <c r="E640" s="86"/>
      <c r="F640" s="86"/>
      <c r="G640" s="87"/>
      <c r="H640" s="84"/>
    </row>
    <row r="641" spans="1:8" ht="12.75" customHeight="1" thickBot="1">
      <c r="A641" s="78"/>
      <c r="B641" s="89"/>
      <c r="C641" s="90"/>
      <c r="D641" s="90"/>
      <c r="E641" s="91"/>
      <c r="F641" s="91"/>
      <c r="G641" s="92"/>
      <c r="H641" s="84"/>
    </row>
    <row r="642" spans="1:8" ht="12.75" customHeight="1" thickTop="1">
      <c r="A642" s="78"/>
      <c r="B642" s="132" t="s">
        <v>1201</v>
      </c>
      <c r="C642" s="62"/>
      <c r="D642" s="62"/>
      <c r="E642" s="86"/>
      <c r="F642" s="86"/>
      <c r="G642" s="148"/>
      <c r="H642" s="74"/>
    </row>
    <row r="643" spans="1:8" ht="12.75" customHeight="1">
      <c r="A643" s="78"/>
      <c r="B643" s="85"/>
      <c r="C643" s="62" t="str">
        <f>+'Cost of Salesa Expenses'!A188</f>
        <v>627 - ຄ່າ​ທຳ​ນຽມ​ທະ​ນາ​ຄານ ແລະ ຄ່າ​ໃຊ້​ຈ່າຍ​ປະ​ເພດ​ດຽວ​ກັນ</v>
      </c>
      <c r="D643" s="62" t="str">
        <f>+'Cost of Salesa Expenses'!B188</f>
        <v>627 - Bank fees and similar expenses</v>
      </c>
      <c r="E643" s="86">
        <v>-15000000</v>
      </c>
      <c r="F643" s="86"/>
      <c r="G643" s="87">
        <v>-15000000</v>
      </c>
      <c r="H643" s="74"/>
    </row>
    <row r="644" spans="1:8" ht="12.75" customHeight="1">
      <c r="A644" s="78"/>
      <c r="B644" s="85"/>
      <c r="C644" s="62" t="str">
        <f>+'Cost of Salesa Expenses'!A189</f>
        <v>6271 - ຄ່າ​ທຳ​ນຽມ​ທະ​ນາ​ຄານ ແລະ ຄ່າ​ໃຊ້​ຈ່າຍ​ປະ​ເພດ​ດຽວ​ກັນ</v>
      </c>
      <c r="D644" s="62" t="str">
        <f>+'Cost of Salesa Expenses'!B189</f>
        <v>6271 - Bank charges and similar charges</v>
      </c>
      <c r="E644" s="86"/>
      <c r="F644" s="86"/>
      <c r="G644" s="148"/>
      <c r="H644" s="74"/>
    </row>
    <row r="645" spans="1:8" ht="12.75" customHeight="1">
      <c r="A645" s="78"/>
      <c r="B645" s="85"/>
      <c r="C645" s="62" t="str">
        <f>+'Cost of Salesa Expenses'!A190</f>
        <v>6271.03 - ຄ່າ​ທຳ​ນຽມ​ທະ​ນາ​ຄານ ພາຍໃນ - ຄ່າໃຊ້ຈ່າຍບໍລິຫານ</v>
      </c>
      <c r="D645" s="62" t="str">
        <f>+'Cost of Salesa Expenses'!B190</f>
        <v>6271.03 - Domestic bank fees - Administrative expenses</v>
      </c>
      <c r="E645" s="86"/>
      <c r="F645" s="86"/>
      <c r="G645" s="148"/>
      <c r="H645" s="74"/>
    </row>
    <row r="646" spans="1:8" ht="12.75" customHeight="1">
      <c r="A646" s="78"/>
      <c r="B646" s="85"/>
      <c r="C646" s="62" t="str">
        <f>+'Cost of Salesa Expenses'!A191</f>
        <v>6272 - ຄ່າ​ທຳ​ນຽມ​ທະ​ນາ​ຄານ ແລະ ຄ່າ​ໃຊ້​ຈ່າຍ​ປະ​ເພດ​ດຽວ​ກັນ</v>
      </c>
      <c r="D646" s="62" t="str">
        <f>+'Cost of Salesa Expenses'!B191</f>
        <v>6272 - Bank charges and similar charges</v>
      </c>
      <c r="E646" s="86"/>
      <c r="F646" s="86"/>
      <c r="G646" s="148"/>
      <c r="H646" s="74"/>
    </row>
    <row r="647" spans="1:8" ht="12.75" customHeight="1" thickBot="1">
      <c r="A647" s="78"/>
      <c r="B647" s="89"/>
      <c r="C647" s="90"/>
      <c r="D647" s="90"/>
      <c r="E647" s="91"/>
      <c r="F647" s="91"/>
      <c r="G647" s="156"/>
      <c r="H647" s="74"/>
    </row>
    <row r="648" spans="1:8" s="105" customFormat="1" ht="12.75" customHeight="1" thickTop="1">
      <c r="A648" s="107"/>
      <c r="B648" s="129" t="s">
        <v>1218</v>
      </c>
      <c r="C648" s="110"/>
      <c r="D648" s="110"/>
      <c r="E648" s="111"/>
      <c r="F648" s="111"/>
      <c r="G648" s="112"/>
      <c r="H648" s="113"/>
    </row>
    <row r="649" spans="1:8" ht="12.75" customHeight="1">
      <c r="A649" s="78"/>
      <c r="B649" s="85"/>
      <c r="C649" s="62" t="str">
        <f>+'Operating Cost '!A1</f>
        <v>Operating Costs</v>
      </c>
      <c r="D649" s="62" t="str">
        <f>+'Operating Cost '!B1</f>
        <v>65 - Other expenses in business</v>
      </c>
      <c r="E649" s="86">
        <v>-15000000</v>
      </c>
      <c r="F649" s="86"/>
      <c r="G649" s="87">
        <v>-15000000</v>
      </c>
      <c r="H649" s="84"/>
    </row>
    <row r="650" spans="1:8" ht="12.75" customHeight="1">
      <c r="A650" s="78"/>
      <c r="B650" s="85"/>
      <c r="C650" s="62" t="str">
        <f>+'Operating Cost '!A2</f>
        <v>65 - ລາ​ຍຈ່າຍ​​ອື່ນໆ ໃນການ​ທຸ​ລະ​ກິດ</v>
      </c>
      <c r="D650" s="62" t="str">
        <f>+'Operating Cost '!B2</f>
        <v>651 - Concession fees and similar expenses</v>
      </c>
      <c r="E650" s="86"/>
      <c r="F650" s="86"/>
      <c r="G650" s="87"/>
      <c r="H650" s="84"/>
    </row>
    <row r="651" spans="1:8" ht="12.75" customHeight="1">
      <c r="A651" s="78"/>
      <c r="B651" s="85"/>
      <c r="C651" s="62" t="str">
        <f>+'Operating Cost '!A3</f>
        <v>651 - ຄ່າ​ທຳນຽມສຳ​ປະທານ ​ແລະ ລາຍ​ຈ່າຍ​ປະ​ເພດ​ດຽວ​ກັນ</v>
      </c>
      <c r="D651" s="62" t="str">
        <f>+'Operating Cost '!B3</f>
        <v>6511 - Concession fees and similar expenses</v>
      </c>
      <c r="E651" s="86"/>
      <c r="F651" s="86"/>
      <c r="G651" s="87"/>
      <c r="H651" s="84"/>
    </row>
    <row r="652" spans="1:8" ht="12.75" customHeight="1">
      <c r="A652" s="78"/>
      <c r="B652" s="85"/>
      <c r="C652" s="62" t="str">
        <f>+'Operating Cost '!A4</f>
        <v>6511 - ຄ່າ​ທຳນຽມສຳ​ປະທານ ​ແລະ ລາຍ​ຈ່າຍ​ປະ​ເພດ​ດຽວ​ກັນ</v>
      </c>
      <c r="D652" s="62" t="str">
        <f>+'Operating Cost '!B4</f>
        <v>652 - Discount value from the sale of fixed assets</v>
      </c>
      <c r="E652" s="86"/>
      <c r="F652" s="86"/>
      <c r="G652" s="87"/>
      <c r="H652" s="84"/>
    </row>
    <row r="653" spans="1:8" ht="12.75" customHeight="1">
      <c r="A653" s="78"/>
      <c r="B653" s="85"/>
      <c r="C653" s="62" t="str">
        <f>+'Operating Cost '!A5</f>
        <v>652 - ມູນ​ຄ່າ​ສ່ວນ​ຫຼຸດ ຈາ​ກການ​ຂາຍ ຊັບ​ສົມບັດ​ຄົງ​ທີ່</v>
      </c>
      <c r="D653" s="62" t="str">
        <f>+'Operating Cost '!B5</f>
        <v>6521 - Value of discount from the sale of fixed assets</v>
      </c>
      <c r="E653" s="86"/>
      <c r="F653" s="86"/>
      <c r="G653" s="87"/>
      <c r="H653" s="84"/>
    </row>
    <row r="654" spans="1:8" ht="12.75" customHeight="1">
      <c r="A654" s="78"/>
      <c r="B654" s="85"/>
      <c r="C654" s="62" t="str">
        <f>+'Operating Cost '!A6</f>
        <v>6521 - ມູນ​ຄ່າ​ສ່ວນ​ຫຼຸດ ຈາ​ກການ​ຂາຍ ຊັບ​ສົມບັດ​ຄົງ​ທີ່</v>
      </c>
      <c r="D654" s="62" t="str">
        <f>+'Operating Cost '!B6</f>
        <v>653 - Meeting trouble</v>
      </c>
      <c r="E654" s="86"/>
      <c r="F654" s="86"/>
      <c r="G654" s="87"/>
      <c r="H654" s="84"/>
    </row>
    <row r="655" spans="1:8" ht="12.75" customHeight="1">
      <c r="A655" s="78"/>
      <c r="B655" s="85"/>
      <c r="C655" s="62" t="str">
        <f>+'Operating Cost '!A7</f>
        <v>653 - ​ເບ້ຽປະຊຸມ</v>
      </c>
      <c r="D655" s="62" t="str">
        <f>+'Operating Cost '!B7</f>
        <v>6531 - Meeting room</v>
      </c>
      <c r="E655" s="86"/>
      <c r="F655" s="86"/>
      <c r="G655" s="87"/>
      <c r="H655" s="84"/>
    </row>
    <row r="656" spans="1:8" ht="12.75" customHeight="1">
      <c r="A656" s="78"/>
      <c r="B656" s="85"/>
      <c r="C656" s="62" t="str">
        <f>+'Operating Cost '!A8</f>
        <v>6531 - ​ເບ້ຽປະຊຸມ</v>
      </c>
      <c r="D656" s="62" t="str">
        <f>+'Operating Cost '!B8</f>
        <v>6531.03 - meeting room</v>
      </c>
      <c r="E656" s="86"/>
      <c r="F656" s="86"/>
      <c r="G656" s="87"/>
      <c r="H656" s="84"/>
    </row>
    <row r="657" spans="1:8" ht="12.75" customHeight="1">
      <c r="A657" s="78"/>
      <c r="B657" s="85"/>
      <c r="C657" s="62" t="str">
        <f>+'Operating Cost '!A9</f>
        <v>6531.03 - ​ເບ້ຽປະຊຸມ</v>
      </c>
      <c r="D657" s="62" t="str">
        <f>+'Operating Cost '!B9</f>
        <v>654 - Lack of funds to collect uncollectible debts</v>
      </c>
      <c r="E657" s="86"/>
      <c r="F657" s="86"/>
      <c r="G657" s="87"/>
      <c r="H657" s="84"/>
    </row>
    <row r="658" spans="1:8" ht="12.75" customHeight="1">
      <c r="A658" s="78"/>
      <c r="B658" s="85"/>
      <c r="C658" s="62" t="str">
        <f>+'Operating Cost '!A10</f>
        <v>654 - ຂາດທຶນ​ບ້ວງ​ໜີ້​ຮຽກ​ເກັບ​ບໍ່​ໄດ້</v>
      </c>
      <c r="D658" s="62" t="str">
        <f>+'Operating Cost '!B10</f>
        <v>6541 - Lack of funds to collect uncollectible debts</v>
      </c>
      <c r="E658" s="86"/>
      <c r="F658" s="86"/>
      <c r="G658" s="87"/>
      <c r="H658" s="84"/>
    </row>
    <row r="659" spans="1:8" ht="12.75" customHeight="1">
      <c r="A659" s="78"/>
      <c r="B659" s="85"/>
      <c r="C659" s="62" t="str">
        <f>+'Operating Cost '!A11</f>
        <v>6541 - ຂາດທຶນ​ບ້ວງ​ໜີ້​ຮຽກ​ເກັບ​ບໍ່​ໄດ້</v>
      </c>
      <c r="D659" s="62" t="str">
        <f>+'Operating Cost '!B11</f>
        <v>655 - Profit share from joint activities - Lack of capita</v>
      </c>
      <c r="E659" s="86"/>
      <c r="F659" s="86"/>
      <c r="G659" s="87"/>
      <c r="H659" s="84"/>
    </row>
    <row r="660" spans="1:8" ht="12.75" customHeight="1">
      <c r="A660" s="78"/>
      <c r="B660" s="85"/>
      <c r="C660" s="62" t="str">
        <f>+'Operating Cost '!A12</f>
        <v>655 - ພູດ​ສ່ວນຜົນ​ໄດ້​ຮັບ ​ຈາກ​ກິດ​ຈະ​ການ​ຮ່ວມ​ກັນ - ຂາດທຶນ</v>
      </c>
      <c r="D660" s="62" t="str">
        <f>+'Operating Cost '!B12</f>
        <v>655 - Profit share from joint activities - Lack of capital</v>
      </c>
      <c r="E660" s="86"/>
      <c r="F660" s="86"/>
      <c r="G660" s="87"/>
      <c r="H660" s="84"/>
    </row>
    <row r="661" spans="1:8" ht="12.75" customHeight="1">
      <c r="A661" s="78"/>
      <c r="B661" s="85"/>
      <c r="C661" s="62" t="str">
        <f>+'Operating Cost '!A13</f>
        <v>6551 - ພູດ​ສ່ວນຜົນ​ໄດ້​ຮັບ ​ຈາກ​ກິດ​ຈະ​ການ​ຮ່ວມ​ກັນ - ຂາດທຶນ</v>
      </c>
      <c r="D661" s="62" t="str">
        <f>+'Operating Cost '!B13</f>
        <v>6551 - Profit share from joint activities - lack of capital</v>
      </c>
      <c r="E661" s="86"/>
      <c r="F661" s="86"/>
      <c r="G661" s="87"/>
      <c r="H661" s="84"/>
    </row>
    <row r="662" spans="1:8" ht="12.75" customHeight="1">
      <c r="A662" s="78"/>
      <c r="B662" s="85"/>
      <c r="C662" s="62" t="str">
        <f>+'Operating Cost '!A14</f>
        <v>656 - ຄ່າ​ປັບ​ໃໝ, ​ເງິນ​ຊ່ວຍ​ໜູນ​ທີ່​ໄດ້​ໃຫ້, ຂອງຂວັນ, ລາງວັນ ​ແລະ ​ເງິນ​ຊ່ວຍ​ບໍລິຈາກ</v>
      </c>
      <c r="D662" s="62" t="str">
        <f>+'Operating Cost '!B14</f>
        <v>656 - Fines, grants, gifts, awards and donations</v>
      </c>
      <c r="E662" s="86"/>
      <c r="F662" s="86"/>
      <c r="G662" s="87"/>
      <c r="H662" s="84"/>
    </row>
    <row r="663" spans="1:8" ht="12.75" customHeight="1">
      <c r="A663" s="78"/>
      <c r="B663" s="85"/>
      <c r="C663" s="62" t="str">
        <f>+'Operating Cost '!A15</f>
        <v>6561 - ຄ່າ​ປັບ​ໃໝ, ​ເງິນ​ຊ່ວຍ​ໜູນ​ທີ່​ໄດ້​ໃຫ້, ຂອງຂວັນ, ລາງວັນ ​ແລະ ​ເງິນ​ຊ່ວຍ​ບໍລິຈາກ</v>
      </c>
      <c r="D663" s="62" t="str">
        <f>+'Operating Cost '!B15</f>
        <v>6561 - Fines, grants, gifts, awards and donations</v>
      </c>
      <c r="E663" s="86"/>
      <c r="F663" s="86"/>
      <c r="G663" s="87"/>
      <c r="H663" s="84"/>
    </row>
    <row r="664" spans="1:8" ht="12.75" customHeight="1">
      <c r="A664" s="78"/>
      <c r="B664" s="85"/>
      <c r="C664" s="62" t="str">
        <f>+'Operating Cost '!A16</f>
        <v>6561.01 - ການຊຸກຍູ້, ເງິນ​ຊ່ວຍ​ບໍລິຈາກ - ຕົ້ນທຶນການບໍລິການ</v>
      </c>
      <c r="D664" s="62" t="str">
        <f>+'Operating Cost '!B16</f>
        <v>6561.01 - Encouragement, donations - cost of services</v>
      </c>
      <c r="E664" s="86"/>
      <c r="F664" s="86"/>
      <c r="G664" s="87"/>
      <c r="H664" s="84"/>
    </row>
    <row r="665" spans="1:8" ht="12.75" customHeight="1">
      <c r="A665" s="78"/>
      <c r="B665" s="85"/>
      <c r="C665" s="62" t="str">
        <f>+'Operating Cost '!A17</f>
        <v>6561.02 - ການຊຸກຍູ້, ເງິນ​ຊ່ວຍ​ບໍລິຈາກ - ຄ່າໃຊ້ຈ່າຍການຂາຍການບໍລິການ</v>
      </c>
      <c r="D665" s="62" t="str">
        <f>+'Operating Cost '!B17</f>
        <v>6561.02 - Encouragement, donations - Cost of selling services</v>
      </c>
      <c r="E665" s="86"/>
      <c r="F665" s="86"/>
      <c r="G665" s="87"/>
      <c r="H665" s="84"/>
    </row>
    <row r="666" spans="1:8" ht="12.75" customHeight="1">
      <c r="A666" s="78"/>
      <c r="B666" s="85"/>
      <c r="C666" s="62" t="str">
        <f>+'Operating Cost '!A18</f>
        <v>6561.03 - ການຊຸກຍູ້, ເງິນ​ຊ່ວຍ​ບໍລິຈາກ - ຄ່າໃຊ້ຈ່າຍບໍລິຫານ</v>
      </c>
      <c r="D666" s="62" t="str">
        <f>+'Operating Cost '!B18</f>
        <v>6561.03 - Promotion, donations - Administrative expenses</v>
      </c>
      <c r="E666" s="86"/>
      <c r="F666" s="86"/>
      <c r="G666" s="87"/>
      <c r="H666" s="84"/>
    </row>
    <row r="667" spans="1:8" ht="12.75" customHeight="1">
      <c r="A667" s="78"/>
      <c r="B667" s="85"/>
      <c r="C667" s="62" t="str">
        <f>+'Operating Cost '!A19</f>
        <v>6562 - ຂອງຂວັນ, ລາງວັນ</v>
      </c>
      <c r="D667" s="62" t="str">
        <f>+'Operating Cost '!B19</f>
        <v>6562 - Gift, reward</v>
      </c>
      <c r="E667" s="86"/>
      <c r="F667" s="86"/>
      <c r="G667" s="87"/>
      <c r="H667" s="84"/>
    </row>
    <row r="668" spans="1:8" ht="12.75" customHeight="1">
      <c r="A668" s="78"/>
      <c r="B668" s="85"/>
      <c r="C668" s="62" t="str">
        <f>+'Operating Cost '!A20</f>
        <v>6562.01 - ຂອງຂວັນ, ລາງວັນ  - ຕົ້ນທຶນການບໍລິການ</v>
      </c>
      <c r="D668" s="62" t="str">
        <f>+'Operating Cost '!B20</f>
        <v>6562.01 - Gifts, awards - cost of services</v>
      </c>
      <c r="E668" s="86"/>
      <c r="F668" s="86"/>
      <c r="G668" s="87"/>
      <c r="H668" s="84"/>
    </row>
    <row r="669" spans="1:8" ht="12.75" customHeight="1">
      <c r="A669" s="78"/>
      <c r="B669" s="85"/>
      <c r="C669" s="62" t="str">
        <f>+'Operating Cost '!A21</f>
        <v>6562.02 - ຂອງຂວັນ, ລາງວັນ  - ຄ່າໃຊ້ຈ່າຍການຂາຍການບໍລິການ</v>
      </c>
      <c r="D669" s="62" t="str">
        <f>+'Operating Cost '!B21</f>
        <v>6562.02 - Gifts, awards - Service sales expenses</v>
      </c>
      <c r="E669" s="86"/>
      <c r="F669" s="86"/>
      <c r="G669" s="87"/>
      <c r="H669" s="84"/>
    </row>
    <row r="670" spans="1:8" ht="12.75" customHeight="1">
      <c r="A670" s="78"/>
      <c r="B670" s="85"/>
      <c r="C670" s="62" t="str">
        <f>+'Operating Cost '!A22</f>
        <v>6562.03 - ຂອງຂວັນ, ລາງວັນ  - ຄ່າໃຊ້ຈ່າຍບໍລິຫານ</v>
      </c>
      <c r="D670" s="62" t="str">
        <f>+'Operating Cost '!B22</f>
        <v>6562.03 - Gifts, awards - Administrative expenses</v>
      </c>
      <c r="E670" s="86"/>
      <c r="F670" s="86"/>
      <c r="G670" s="87"/>
      <c r="H670" s="84"/>
    </row>
    <row r="671" spans="1:8" ht="12.75" customHeight="1">
      <c r="A671" s="78"/>
      <c r="B671" s="85"/>
      <c r="C671" s="62" t="str">
        <f>+'Operating Cost '!A23</f>
        <v>6563 - ຄ່າ​ປັບ​ໃໝ,</v>
      </c>
      <c r="D671" s="62" t="str">
        <f>+'Operating Cost '!B23</f>
        <v>6563 - Fines,</v>
      </c>
      <c r="E671" s="86"/>
      <c r="F671" s="86"/>
      <c r="G671" s="87"/>
      <c r="H671" s="84"/>
    </row>
    <row r="672" spans="1:8" ht="12.75" customHeight="1">
      <c r="A672" s="78"/>
      <c r="B672" s="85"/>
      <c r="C672" s="62" t="str">
        <f>+'Operating Cost '!A24</f>
        <v>6563.01 - ຄ່າ​ປັບ​ໃໝ, - ຕົ້ນທຶນການບໍລິການ</v>
      </c>
      <c r="D672" s="62" t="str">
        <f>+'Operating Cost '!B24</f>
        <v>6563.01 - Fine, - Service cost</v>
      </c>
      <c r="E672" s="86"/>
      <c r="F672" s="86"/>
      <c r="G672" s="87"/>
      <c r="H672" s="84"/>
    </row>
    <row r="673" spans="1:8" ht="12.75" customHeight="1">
      <c r="A673" s="78"/>
      <c r="B673" s="85"/>
      <c r="C673" s="62" t="str">
        <f>+'Operating Cost '!A25</f>
        <v>6563.02 - ຄ່າ​ປັບ​ໃໝ, - ຄ່າໃຊ້ຈ່າຍການຂາຍການບໍລິການ</v>
      </c>
      <c r="D673" s="62" t="str">
        <f>+'Operating Cost '!B25</f>
        <v>6563.02 - Fines, - Cost of selling services</v>
      </c>
      <c r="E673" s="86"/>
      <c r="F673" s="86"/>
      <c r="G673" s="87"/>
      <c r="H673" s="84"/>
    </row>
    <row r="674" spans="1:8" ht="12.75" customHeight="1">
      <c r="A674" s="78"/>
      <c r="B674" s="85"/>
      <c r="C674" s="62" t="str">
        <f>+'Operating Cost '!A26</f>
        <v>6563.03 - ຄ່າ​ປັບ​ໃໝ, - ຄ່າໃຊ້ຈ່າຍບໍລິຫານ</v>
      </c>
      <c r="D674" s="62" t="str">
        <f>+'Operating Cost '!B26</f>
        <v>6563.03 - Fines, - Administrative expenses</v>
      </c>
      <c r="E674" s="86"/>
      <c r="F674" s="86"/>
      <c r="G674" s="87"/>
      <c r="H674" s="84"/>
    </row>
    <row r="675" spans="1:8" ht="12.75" customHeight="1">
      <c r="A675" s="78"/>
      <c r="B675" s="85"/>
      <c r="C675" s="62" t="str">
        <f>+'Operating Cost '!A27</f>
        <v>657 - ຂາດ​ທຶນ​ຈາກ​ການ​ແລກ​ປ່ຽນ ຊັບ​ສົມ​ບັດ​ຄົງ​ທີ່</v>
      </c>
      <c r="D675" s="62" t="str">
        <f>+'Operating Cost '!B27</f>
        <v>657 - Lack of capital from the exchange of fixed assets</v>
      </c>
      <c r="E675" s="86"/>
      <c r="F675" s="86"/>
      <c r="G675" s="87"/>
      <c r="H675" s="84"/>
    </row>
    <row r="676" spans="1:8" ht="12.75" customHeight="1">
      <c r="A676" s="78"/>
      <c r="B676" s="85"/>
      <c r="C676" s="62" t="str">
        <f>+'Operating Cost '!A28</f>
        <v>6571 - ຂາດ​ທຶນ​ຈາກ​ການ​ແລກ​ປ່ຽນ ຊັບ​ສົມ​ບັດ​ຄົງ​ທີ່</v>
      </c>
      <c r="D676" s="62" t="str">
        <f>+'Operating Cost '!B28</f>
        <v>6571 - Lack of capital from the exchange of fixed assets</v>
      </c>
      <c r="E676" s="86"/>
      <c r="F676" s="86"/>
      <c r="G676" s="87"/>
      <c r="H676" s="84"/>
    </row>
    <row r="677" spans="1:8" ht="12.75" customHeight="1">
      <c r="A677" s="78"/>
      <c r="B677" s="85"/>
      <c r="C677" s="62" t="str">
        <f>+'Operating Cost '!A29</f>
        <v>658 - ລາຍ​ຈ່າຍ​ອື່ນໆ ໃນ​ການ​ທຸ​ລະ​ກິດ</v>
      </c>
      <c r="D677" s="62" t="str">
        <f>+'Operating Cost '!B29</f>
        <v>658 - Other expenses in business</v>
      </c>
      <c r="E677" s="86"/>
      <c r="F677" s="86"/>
      <c r="G677" s="87"/>
      <c r="H677" s="84"/>
    </row>
    <row r="678" spans="1:8" ht="12.75" customHeight="1">
      <c r="A678" s="78"/>
      <c r="B678" s="85"/>
      <c r="C678" s="62" t="str">
        <f>+'Operating Cost '!A30</f>
        <v>6581 - ລາຍ​ຈ່າຍ​ອື່ນໆ ໃນ​ການ​ທຸ​ລະ​ກິດ</v>
      </c>
      <c r="D678" s="62" t="str">
        <f>+'Operating Cost '!B30</f>
        <v>6581 - Other business expenses</v>
      </c>
      <c r="E678" s="86"/>
      <c r="F678" s="86"/>
      <c r="G678" s="87"/>
      <c r="H678" s="84"/>
    </row>
    <row r="679" spans="1:8" ht="12.75" customHeight="1">
      <c r="A679" s="78"/>
      <c r="B679" s="85"/>
      <c r="C679" s="62" t="str">
        <f>+'Operating Cost '!A31</f>
        <v>6581.01 - ລາຍ​ຈ່າຍ​ອື່ນໆ ໃນ​ການ​ທຸ​ລະ​ກິດ</v>
      </c>
      <c r="D679" s="62" t="str">
        <f>+'Operating Cost '!B31</f>
        <v>6581.01 - Other business expenses</v>
      </c>
      <c r="E679" s="86"/>
      <c r="F679" s="86"/>
      <c r="G679" s="87"/>
      <c r="H679" s="84"/>
    </row>
    <row r="680" spans="1:8" ht="12.75" customHeight="1">
      <c r="A680" s="78"/>
      <c r="B680" s="85"/>
      <c r="C680" s="62" t="str">
        <f>+'Operating Cost '!A32</f>
        <v>6581.02 - ລາຍ​ຈ່າຍ​ອື່ນໆ ໃນ​ການ​ທຸ​ລະ​ກິດ</v>
      </c>
      <c r="D680" s="62" t="str">
        <f>+'Operating Cost '!B32</f>
        <v>6581.02 - Other business expenses</v>
      </c>
      <c r="E680" s="86"/>
      <c r="F680" s="86"/>
      <c r="G680" s="87"/>
      <c r="H680" s="84"/>
    </row>
    <row r="681" spans="1:8" ht="12.75" customHeight="1">
      <c r="A681" s="78"/>
      <c r="B681" s="85"/>
      <c r="C681" s="62" t="str">
        <f>+'Operating Cost '!A33</f>
        <v>6581.03 - ລາຍ​ຈ່າຍ​ອື່ນໆ ໃນ​ການ​ທຸ​ລະ​ກິດ</v>
      </c>
      <c r="D681" s="62" t="str">
        <f>+'Operating Cost '!B33</f>
        <v>6581.03 - Other business expenses</v>
      </c>
      <c r="E681" s="86"/>
      <c r="F681" s="86"/>
      <c r="G681" s="87"/>
      <c r="H681" s="84"/>
    </row>
    <row r="682" spans="1:8" ht="12.75" customHeight="1" thickBot="1">
      <c r="A682" s="78"/>
      <c r="B682" s="89"/>
      <c r="C682" s="90"/>
      <c r="D682" s="90"/>
      <c r="E682" s="91"/>
      <c r="F682" s="91"/>
      <c r="G682" s="92"/>
      <c r="H682" s="84"/>
    </row>
    <row r="683" spans="1:8" ht="12.75" customHeight="1" thickTop="1" thickBot="1">
      <c r="A683" s="78"/>
      <c r="B683" s="71"/>
      <c r="C683" s="71"/>
      <c r="D683" s="71"/>
      <c r="E683" s="68"/>
      <c r="F683" s="68"/>
      <c r="G683" s="68"/>
      <c r="H683" s="74"/>
    </row>
    <row r="684" spans="1:8" ht="12.75" customHeight="1" thickTop="1">
      <c r="A684" s="78"/>
      <c r="B684" s="80" t="s">
        <v>1217</v>
      </c>
      <c r="C684" s="81"/>
      <c r="D684" s="81"/>
      <c r="E684" s="82"/>
      <c r="F684" s="82"/>
      <c r="G684" s="83"/>
      <c r="H684" s="84"/>
    </row>
    <row r="685" spans="1:8" ht="12.75" customHeight="1">
      <c r="A685" s="78"/>
      <c r="B685" s="85"/>
      <c r="C685" s="62" t="str">
        <f>+'Cost of Salesa Expenses'!A291</f>
        <v>66 - ລາຍ​ຈ່າຍການ​ເງິນ</v>
      </c>
      <c r="D685" s="62" t="str">
        <f>+'Cost of Salesa Expenses'!B291</f>
        <v>66 - Financial expenses</v>
      </c>
      <c r="E685" s="86">
        <v>-15000000</v>
      </c>
      <c r="F685" s="86"/>
      <c r="G685" s="87">
        <v>-15000000</v>
      </c>
      <c r="H685" s="84"/>
    </row>
    <row r="686" spans="1:8" ht="12.75" customHeight="1">
      <c r="A686" s="78"/>
      <c r="B686" s="85"/>
      <c r="C686" s="62" t="str">
        <f>+'Cost of Salesa Expenses'!A292</f>
        <v>661 - ລາຍ​ຈ່າຍ​ດອກເບ້ຽ</v>
      </c>
      <c r="D686" s="62" t="str">
        <f>+'Cost of Salesa Expenses'!B292</f>
        <v>661 - Interest expense</v>
      </c>
      <c r="E686" s="86"/>
      <c r="F686" s="86"/>
      <c r="G686" s="87"/>
      <c r="H686" s="84"/>
    </row>
    <row r="687" spans="1:8" ht="12.75" customHeight="1">
      <c r="A687" s="78"/>
      <c r="B687" s="85"/>
      <c r="C687" s="62" t="str">
        <f>+'Cost of Salesa Expenses'!A293</f>
        <v>6611 - ລາຍ​ຈ່າຍ​ດອກເບ້ຽ</v>
      </c>
      <c r="D687" s="62" t="str">
        <f>+'Cost of Salesa Expenses'!B293</f>
        <v>6611 - Interest expenses</v>
      </c>
      <c r="E687" s="86"/>
      <c r="F687" s="86"/>
      <c r="G687" s="87"/>
      <c r="H687" s="84"/>
    </row>
    <row r="688" spans="1:8" ht="12.75" customHeight="1">
      <c r="A688" s="78"/>
      <c r="B688" s="85"/>
      <c r="C688" s="62" t="str">
        <f>+'Cost of Salesa Expenses'!A294</f>
        <v>6611.03 - ລາຍ​ຈ່າຍ​ດອກເບ້ຽ - ຄ່າໃຊ້ຈ່າຍບໍລິຫານ</v>
      </c>
      <c r="D688" s="62" t="str">
        <f>+'Cost of Salesa Expenses'!B294</f>
        <v>6611.03 - Interest expenses - Administrative expenses</v>
      </c>
      <c r="E688" s="86"/>
      <c r="F688" s="86"/>
      <c r="G688" s="87"/>
      <c r="H688" s="84"/>
    </row>
    <row r="689" spans="1:8" ht="12.75" customHeight="1" thickBot="1">
      <c r="A689" s="78"/>
      <c r="B689" s="89"/>
      <c r="C689" s="90"/>
      <c r="D689" s="90"/>
      <c r="E689" s="91"/>
      <c r="F689" s="91"/>
      <c r="G689" s="92"/>
      <c r="H689" s="84"/>
    </row>
    <row r="690" spans="1:8" ht="12.75" customHeight="1" thickTop="1">
      <c r="A690" s="78"/>
      <c r="B690" s="71"/>
      <c r="C690" s="71"/>
      <c r="D690" s="71"/>
      <c r="E690" s="68"/>
      <c r="F690" s="68"/>
      <c r="G690" s="68"/>
      <c r="H690" s="74"/>
    </row>
    <row r="691" spans="1:8" ht="12.75" customHeight="1">
      <c r="A691" s="78"/>
      <c r="B691" s="71"/>
      <c r="C691" s="71"/>
      <c r="D691" s="71"/>
      <c r="E691" s="68"/>
      <c r="F691" s="68"/>
      <c r="G691" s="68"/>
      <c r="H691" s="74"/>
    </row>
    <row r="692" spans="1:8" ht="12.75" customHeight="1">
      <c r="A692" s="78"/>
      <c r="B692" s="71"/>
      <c r="C692" s="71"/>
      <c r="D692" s="71"/>
      <c r="E692" s="68"/>
      <c r="F692" s="68"/>
      <c r="G692" s="68"/>
      <c r="H692" s="74"/>
    </row>
    <row r="693" spans="1:8" ht="12.75" customHeight="1">
      <c r="A693" s="78"/>
      <c r="B693" s="71"/>
      <c r="C693" s="71"/>
      <c r="D693" s="71"/>
      <c r="E693" s="68"/>
      <c r="F693" s="68"/>
      <c r="G693" s="68"/>
      <c r="H693" s="74"/>
    </row>
    <row r="694" spans="1:8" ht="12.75" customHeight="1">
      <c r="A694" s="78"/>
      <c r="B694" s="70" t="s">
        <v>1219</v>
      </c>
      <c r="C694" s="70"/>
      <c r="D694" s="71"/>
      <c r="E694" s="68">
        <f>SUM(E248:E693)</f>
        <v>315000000</v>
      </c>
      <c r="F694" s="68"/>
      <c r="G694" s="68">
        <f>SUM(G248:G693)</f>
        <v>315000000</v>
      </c>
      <c r="H694" s="74"/>
    </row>
    <row r="695" spans="1:8" ht="12.75" customHeight="1">
      <c r="A695" s="78"/>
      <c r="B695" s="71"/>
      <c r="C695" s="70"/>
      <c r="D695" s="71"/>
      <c r="E695" s="68"/>
      <c r="F695" s="68"/>
      <c r="G695" s="68"/>
      <c r="H695" s="74"/>
    </row>
    <row r="696" spans="1:8" ht="12.75" customHeight="1">
      <c r="A696" s="78"/>
      <c r="B696" s="71"/>
      <c r="C696" s="70"/>
      <c r="D696" s="71"/>
      <c r="E696" s="68"/>
      <c r="F696" s="68"/>
      <c r="G696" s="68"/>
      <c r="H696" s="74"/>
    </row>
    <row r="697" spans="1:8" ht="12.75" customHeight="1">
      <c r="A697" s="78"/>
      <c r="B697" s="71"/>
      <c r="C697" s="70"/>
      <c r="D697" s="71"/>
      <c r="E697" s="68"/>
      <c r="F697" s="68"/>
      <c r="G697" s="68"/>
      <c r="H697" s="74"/>
    </row>
    <row r="698" spans="1:8" ht="12.75" customHeight="1">
      <c r="A698" s="78"/>
      <c r="B698" s="70" t="s">
        <v>1179</v>
      </c>
      <c r="C698" s="70"/>
      <c r="D698" s="71"/>
      <c r="E698" s="68">
        <f>SUM(E694:E697)</f>
        <v>315000000</v>
      </c>
      <c r="F698" s="68"/>
      <c r="G698" s="68">
        <f>SUM(G694:G697)</f>
        <v>315000000</v>
      </c>
      <c r="H698" s="74"/>
    </row>
    <row r="699" spans="1:8" ht="12.75" customHeight="1">
      <c r="A699" s="78"/>
      <c r="B699" s="71"/>
      <c r="C699" s="70"/>
      <c r="D699" s="71"/>
      <c r="E699" s="68"/>
      <c r="F699" s="68"/>
      <c r="G699" s="68"/>
      <c r="H699" s="74"/>
    </row>
    <row r="700" spans="1:8" ht="12.75" customHeight="1">
      <c r="A700" s="78"/>
      <c r="B700" s="71" t="s">
        <v>1180</v>
      </c>
      <c r="C700" s="70"/>
      <c r="D700" s="71"/>
      <c r="E700" s="68"/>
      <c r="F700" s="68"/>
      <c r="G700" s="68"/>
      <c r="H700" s="74"/>
    </row>
    <row r="701" spans="1:8" ht="12.75" customHeight="1">
      <c r="A701" s="78"/>
      <c r="B701" s="71"/>
      <c r="C701" s="70"/>
      <c r="D701" s="71"/>
      <c r="E701" s="68"/>
      <c r="F701" s="68"/>
      <c r="G701" s="68"/>
      <c r="H701" s="74"/>
    </row>
    <row r="702" spans="1:8" ht="12.75" customHeight="1">
      <c r="A702" s="78"/>
      <c r="B702" s="71"/>
      <c r="C702" s="70" t="s">
        <v>1213</v>
      </c>
      <c r="D702" s="71"/>
      <c r="E702" s="68">
        <f>SUM(E698:E700)</f>
        <v>315000000</v>
      </c>
      <c r="F702" s="68"/>
      <c r="G702" s="68">
        <f>SUM(G698:G700)</f>
        <v>315000000</v>
      </c>
      <c r="H702" s="74"/>
    </row>
    <row r="703" spans="1:8" ht="12.75" customHeight="1">
      <c r="A703" s="78"/>
      <c r="B703" s="71"/>
      <c r="C703" s="71"/>
      <c r="D703" s="157"/>
      <c r="E703" s="68"/>
      <c r="F703" s="68"/>
      <c r="G703" s="68"/>
      <c r="H703" s="74"/>
    </row>
    <row r="704" spans="1:8" ht="12.75" customHeight="1">
      <c r="A704" s="78"/>
      <c r="B704" s="71"/>
      <c r="C704" s="71"/>
      <c r="D704" s="71"/>
      <c r="E704" s="68"/>
      <c r="F704" s="68"/>
      <c r="G704" s="68"/>
      <c r="H704" s="74"/>
    </row>
    <row r="705" spans="1:8" ht="12.75" customHeight="1">
      <c r="A705" s="78"/>
      <c r="B705" s="71"/>
      <c r="C705" s="71"/>
      <c r="D705" s="71"/>
      <c r="E705" s="68"/>
      <c r="F705" s="68"/>
      <c r="G705" s="68"/>
      <c r="H705" s="74"/>
    </row>
    <row r="706" spans="1:8" ht="12.75" customHeight="1">
      <c r="A706" s="78"/>
      <c r="B706" s="71"/>
      <c r="C706" s="71"/>
      <c r="D706" s="71"/>
      <c r="E706" s="68"/>
      <c r="F706" s="68"/>
      <c r="G706" s="68"/>
      <c r="H706" s="74"/>
    </row>
    <row r="707" spans="1:8" ht="12.75" customHeight="1">
      <c r="A707" s="78"/>
      <c r="B707" s="71"/>
      <c r="C707" s="71"/>
      <c r="D707" s="71"/>
      <c r="E707" s="68"/>
      <c r="F707" s="68"/>
      <c r="G707" s="68"/>
      <c r="H707" s="74"/>
    </row>
    <row r="708" spans="1:8" ht="12.75" customHeight="1">
      <c r="A708" s="78"/>
      <c r="B708" s="71"/>
      <c r="C708" s="71"/>
      <c r="D708" s="71"/>
      <c r="E708" s="68"/>
      <c r="F708" s="68"/>
      <c r="G708" s="68"/>
      <c r="H708" s="74"/>
    </row>
    <row r="709" spans="1:8" ht="12.75" customHeight="1">
      <c r="A709" s="78"/>
      <c r="B709" s="71"/>
      <c r="C709" s="71"/>
      <c r="D709" s="71"/>
      <c r="E709" s="68"/>
      <c r="F709" s="68"/>
      <c r="G709" s="68"/>
      <c r="H709" s="74"/>
    </row>
    <row r="710" spans="1:8" ht="12.75" customHeight="1">
      <c r="A710" s="78"/>
      <c r="B710" s="71"/>
      <c r="C710" s="71"/>
      <c r="D710" s="71"/>
      <c r="E710" s="68"/>
      <c r="F710" s="68"/>
      <c r="G710" s="68"/>
      <c r="H710" s="74"/>
    </row>
    <row r="711" spans="1:8" ht="12.75" customHeight="1">
      <c r="A711" s="78"/>
      <c r="B711" s="71"/>
      <c r="C711" s="71"/>
      <c r="D711" s="71"/>
      <c r="E711" s="68"/>
      <c r="F711" s="68"/>
      <c r="G711" s="68"/>
      <c r="H711" s="74"/>
    </row>
    <row r="712" spans="1:8" ht="12.75" customHeight="1">
      <c r="A712" s="78"/>
      <c r="B712" s="70"/>
      <c r="C712" s="71"/>
      <c r="D712" s="71"/>
      <c r="E712" s="68"/>
      <c r="F712" s="68"/>
      <c r="G712" s="68"/>
      <c r="H712" s="74"/>
    </row>
    <row r="713" spans="1:8" ht="12.75" customHeight="1">
      <c r="A713" s="78"/>
      <c r="B713" s="71"/>
      <c r="C713" s="71"/>
      <c r="D713" s="71"/>
      <c r="E713" s="68"/>
      <c r="F713" s="68"/>
      <c r="G713" s="68"/>
      <c r="H713" s="74"/>
    </row>
    <row r="714" spans="1:8" ht="12.75" customHeight="1">
      <c r="A714" s="78"/>
      <c r="B714" s="71"/>
      <c r="C714" s="158" t="s">
        <v>1151</v>
      </c>
      <c r="D714" s="159"/>
      <c r="E714" s="68"/>
      <c r="F714" s="68"/>
      <c r="G714" s="68"/>
      <c r="H714" s="74"/>
    </row>
    <row r="715" spans="1:8" ht="12.75" customHeight="1">
      <c r="A715" s="78"/>
      <c r="B715" s="70"/>
      <c r="C715" s="158" t="s">
        <v>1152</v>
      </c>
      <c r="D715" s="160"/>
      <c r="E715" s="68"/>
      <c r="F715" s="68"/>
      <c r="G715" s="68"/>
      <c r="H715" s="74"/>
    </row>
    <row r="716" spans="1:8" ht="12.75" customHeight="1">
      <c r="A716" s="78"/>
      <c r="B716" s="70"/>
      <c r="C716" s="158"/>
      <c r="D716" s="159"/>
      <c r="E716" s="68"/>
      <c r="F716" s="68"/>
      <c r="G716" s="68"/>
      <c r="H716" s="74"/>
    </row>
    <row r="717" spans="1:8" ht="12.75" customHeight="1">
      <c r="A717" s="78"/>
      <c r="B717" s="78"/>
      <c r="C717" s="78"/>
      <c r="D717" s="78"/>
      <c r="E717" s="161"/>
      <c r="F717" s="161"/>
      <c r="G717" s="161"/>
      <c r="H717" s="74"/>
    </row>
    <row r="718" spans="1:8" ht="12.75" customHeight="1">
      <c r="A718" s="78"/>
      <c r="B718" s="78"/>
      <c r="C718" s="78"/>
      <c r="D718" s="78"/>
      <c r="E718" s="161"/>
      <c r="F718" s="161"/>
      <c r="G718" s="161"/>
      <c r="H718" s="74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F227"/>
  <sheetViews>
    <sheetView zoomScale="85" zoomScaleNormal="85" workbookViewId="0">
      <selection activeCell="E232" sqref="E232"/>
    </sheetView>
  </sheetViews>
  <sheetFormatPr defaultRowHeight="15"/>
  <cols>
    <col min="1" max="2" width="32.42578125" customWidth="1"/>
    <col min="3" max="4" width="17.42578125" customWidth="1"/>
    <col min="5" max="5" width="17.42578125" style="11" customWidth="1"/>
    <col min="6" max="6" width="10.7109375" style="11" bestFit="1" customWidth="1"/>
  </cols>
  <sheetData>
    <row r="1" spans="1:6">
      <c r="A1" t="s">
        <v>0</v>
      </c>
    </row>
    <row r="2" spans="1:6">
      <c r="A2" t="s">
        <v>1</v>
      </c>
      <c r="B2" s="1" t="s">
        <v>203</v>
      </c>
      <c r="C2" s="1"/>
      <c r="D2" s="1"/>
      <c r="E2" s="14"/>
    </row>
    <row r="3" spans="1:6">
      <c r="A3" t="s">
        <v>2</v>
      </c>
      <c r="B3" s="1" t="s">
        <v>204</v>
      </c>
      <c r="C3" s="1"/>
      <c r="D3" s="1">
        <v>70</v>
      </c>
      <c r="E3" s="14">
        <f>IFERROR(VLOOKUP(D3,'[1]FinalGRAM-SAP (2)'!$A$4:$B$731,2,0),0)</f>
        <v>0</v>
      </c>
      <c r="F3" s="11">
        <v>10000</v>
      </c>
    </row>
    <row r="4" spans="1:6">
      <c r="A4" t="s">
        <v>3</v>
      </c>
      <c r="B4" s="1" t="s">
        <v>205</v>
      </c>
      <c r="C4" s="1"/>
      <c r="D4" s="1">
        <v>701</v>
      </c>
      <c r="E4" s="14">
        <f>IFERROR(VLOOKUP(D4,'[1]FinalGRAM-SAP (2)'!$A$4:$B$731,2,0),0)</f>
        <v>0</v>
      </c>
      <c r="F4" s="11">
        <v>10000</v>
      </c>
    </row>
    <row r="5" spans="1:6">
      <c r="A5" t="s">
        <v>4</v>
      </c>
      <c r="B5" s="1" t="s">
        <v>206</v>
      </c>
      <c r="C5" s="1"/>
      <c r="D5" s="1">
        <v>702</v>
      </c>
      <c r="E5" s="14">
        <f>IFERROR(VLOOKUP(D5,'[1]FinalGRAM-SAP (2)'!$A$4:$B$731,2,0),0)</f>
        <v>0</v>
      </c>
      <c r="F5" s="11">
        <v>10000</v>
      </c>
    </row>
    <row r="6" spans="1:6">
      <c r="A6" t="s">
        <v>5</v>
      </c>
      <c r="B6" s="1" t="s">
        <v>207</v>
      </c>
      <c r="C6" s="1"/>
      <c r="D6" s="1">
        <v>704</v>
      </c>
      <c r="E6" s="14">
        <f>IFERROR(VLOOKUP(D6,'[1]FinalGRAM-SAP (2)'!$A$4:$B$731,2,0),0)</f>
        <v>0</v>
      </c>
      <c r="F6" s="11">
        <v>10000</v>
      </c>
    </row>
    <row r="7" spans="1:6">
      <c r="A7" t="s">
        <v>6</v>
      </c>
      <c r="B7" s="1" t="s">
        <v>208</v>
      </c>
      <c r="C7" s="1"/>
      <c r="D7" s="1">
        <v>705</v>
      </c>
      <c r="E7" s="14">
        <f>IFERROR(VLOOKUP(D7,'[1]FinalGRAM-SAP (2)'!$A$4:$B$731,2,0),0)</f>
        <v>0</v>
      </c>
      <c r="F7" s="11">
        <v>10000</v>
      </c>
    </row>
    <row r="8" spans="1:6">
      <c r="A8" t="s">
        <v>7</v>
      </c>
      <c r="B8" s="1" t="s">
        <v>209</v>
      </c>
      <c r="C8" s="1"/>
      <c r="D8" s="1">
        <v>707</v>
      </c>
      <c r="E8" s="14">
        <f>IFERROR(VLOOKUP(D8,'[1]FinalGRAM-SAP (2)'!$A$4:$B$731,2,0),0)</f>
        <v>0</v>
      </c>
      <c r="F8" s="11">
        <v>10000</v>
      </c>
    </row>
    <row r="9" spans="1:6">
      <c r="A9" t="s">
        <v>8</v>
      </c>
      <c r="B9" s="1" t="s">
        <v>883</v>
      </c>
      <c r="C9" s="1"/>
      <c r="D9" s="1">
        <v>708</v>
      </c>
      <c r="E9" s="14">
        <f>IFERROR(VLOOKUP(D9,'[1]FinalGRAM-SAP (2)'!$A$4:$B$731,2,0),0)</f>
        <v>0</v>
      </c>
      <c r="F9" s="11">
        <v>10000</v>
      </c>
    </row>
    <row r="10" spans="1:6" s="3" customFormat="1">
      <c r="A10" s="4" t="s">
        <v>9</v>
      </c>
      <c r="B10" s="5" t="s">
        <v>884</v>
      </c>
      <c r="C10" s="5"/>
      <c r="D10" s="5"/>
      <c r="E10" s="14">
        <f>IFERROR(VLOOKUP(D10,'[1]FinalGRAM-SAP (2)'!$A$4:$B$731,2,0),0)</f>
        <v>0</v>
      </c>
      <c r="F10" s="11">
        <v>10000</v>
      </c>
    </row>
    <row r="11" spans="1:6">
      <c r="A11" t="s">
        <v>10</v>
      </c>
      <c r="B11" s="1" t="s">
        <v>885</v>
      </c>
      <c r="C11" s="1"/>
      <c r="D11" s="1">
        <v>7081.01</v>
      </c>
      <c r="E11" s="14" t="str">
        <f>IFERROR(VLOOKUP(D11,'[1]FinalGRAM-SAP (2)'!$A$4:$B$731,2,0),0)</f>
        <v>TRANSIT</v>
      </c>
      <c r="F11" s="11">
        <v>10000</v>
      </c>
    </row>
    <row r="12" spans="1:6">
      <c r="A12" t="s">
        <v>11</v>
      </c>
      <c r="B12" s="1" t="s">
        <v>886</v>
      </c>
      <c r="C12" s="1"/>
      <c r="D12" s="1">
        <v>7081.02</v>
      </c>
      <c r="E12" s="14" t="str">
        <f>IFERROR(VLOOKUP(D12,'[1]FinalGRAM-SAP (2)'!$A$4:$B$731,2,0),0)</f>
        <v>TRANSIT</v>
      </c>
      <c r="F12" s="11">
        <v>10000</v>
      </c>
    </row>
    <row r="13" spans="1:6">
      <c r="A13" t="s">
        <v>12</v>
      </c>
      <c r="B13" s="1" t="s">
        <v>887</v>
      </c>
      <c r="C13" s="1"/>
      <c r="D13" s="1">
        <v>7081.03</v>
      </c>
      <c r="E13" s="14" t="str">
        <f>IFERROR(VLOOKUP(D13,'[1]FinalGRAM-SAP (2)'!$A$4:$B$731,2,0),0)</f>
        <v>TRANSIT</v>
      </c>
      <c r="F13" s="11">
        <v>10000</v>
      </c>
    </row>
    <row r="14" spans="1:6">
      <c r="A14" t="s">
        <v>13</v>
      </c>
      <c r="B14" s="1" t="s">
        <v>888</v>
      </c>
      <c r="C14" s="1"/>
      <c r="D14" s="1">
        <v>7081.04</v>
      </c>
      <c r="E14" s="14" t="str">
        <f>IFERROR(VLOOKUP(D14,'[1]FinalGRAM-SAP (2)'!$A$4:$B$731,2,0),0)</f>
        <v>TRANSIT</v>
      </c>
      <c r="F14" s="11">
        <v>10000</v>
      </c>
    </row>
    <row r="15" spans="1:6">
      <c r="A15" t="s">
        <v>14</v>
      </c>
      <c r="B15" s="1" t="s">
        <v>889</v>
      </c>
      <c r="C15" s="1"/>
      <c r="D15" s="1">
        <v>7081.05</v>
      </c>
      <c r="E15" s="14" t="str">
        <f>IFERROR(VLOOKUP(D15,'[1]FinalGRAM-SAP (2)'!$A$4:$B$731,2,0),0)</f>
        <v>TRANSIT</v>
      </c>
      <c r="F15" s="11">
        <v>10000</v>
      </c>
    </row>
    <row r="16" spans="1:6">
      <c r="A16" t="s">
        <v>15</v>
      </c>
      <c r="B16" s="1" t="s">
        <v>890</v>
      </c>
      <c r="C16" s="1"/>
      <c r="D16" s="1">
        <v>7081.06</v>
      </c>
      <c r="E16" s="14" t="str">
        <f>IFERROR(VLOOKUP(D16,'[1]FinalGRAM-SAP (2)'!$A$4:$B$731,2,0),0)</f>
        <v>TRANSIT</v>
      </c>
      <c r="F16" s="11">
        <v>10000</v>
      </c>
    </row>
    <row r="17" spans="1:6">
      <c r="A17" t="s">
        <v>16</v>
      </c>
      <c r="B17" s="1" t="s">
        <v>891</v>
      </c>
      <c r="C17" s="1"/>
      <c r="D17" s="1">
        <v>7081.07</v>
      </c>
      <c r="E17" s="14" t="str">
        <f>IFERROR(VLOOKUP(D17,'[1]FinalGRAM-SAP (2)'!$A$4:$B$731,2,0),0)</f>
        <v>TRANSIT</v>
      </c>
      <c r="F17" s="11">
        <v>10000</v>
      </c>
    </row>
    <row r="18" spans="1:6">
      <c r="A18" t="s">
        <v>17</v>
      </c>
      <c r="B18" s="1" t="s">
        <v>892</v>
      </c>
      <c r="C18" s="1"/>
      <c r="D18" s="1">
        <v>7081.08</v>
      </c>
      <c r="E18" s="14">
        <f>IFERROR(VLOOKUP(D18,'[1]FinalGRAM-SAP (2)'!$A$4:$B$731,2,0),0)</f>
        <v>0</v>
      </c>
      <c r="F18" s="11">
        <v>10000</v>
      </c>
    </row>
    <row r="19" spans="1:6">
      <c r="A19" t="s">
        <v>18</v>
      </c>
      <c r="B19" s="1" t="s">
        <v>893</v>
      </c>
      <c r="C19" s="1"/>
      <c r="D19" s="1">
        <v>7081.09</v>
      </c>
      <c r="E19" s="14">
        <f>IFERROR(VLOOKUP(D19,'[1]FinalGRAM-SAP (2)'!$A$4:$B$731,2,0),0)</f>
        <v>0</v>
      </c>
      <c r="F19" s="11">
        <v>10000</v>
      </c>
    </row>
    <row r="20" spans="1:6">
      <c r="A20" t="s">
        <v>19</v>
      </c>
      <c r="B20" s="1" t="s">
        <v>894</v>
      </c>
      <c r="C20" s="1"/>
      <c r="D20" s="13">
        <v>7081.1</v>
      </c>
      <c r="E20" s="14">
        <f>IFERROR(VLOOKUP(D20,'[1]FinalGRAM-SAP (2)'!$A$4:$B$731,2,0),0)</f>
        <v>0</v>
      </c>
      <c r="F20" s="11">
        <v>10000</v>
      </c>
    </row>
    <row r="21" spans="1:6">
      <c r="A21" t="s">
        <v>20</v>
      </c>
      <c r="B21" s="1" t="s">
        <v>895</v>
      </c>
      <c r="C21" s="1"/>
      <c r="D21" s="1">
        <v>7081.11</v>
      </c>
      <c r="E21" s="14">
        <f>IFERROR(VLOOKUP(D21,'[1]FinalGRAM-SAP (2)'!$A$4:$B$731,2,0),0)</f>
        <v>0</v>
      </c>
      <c r="F21" s="11">
        <v>10000</v>
      </c>
    </row>
    <row r="22" spans="1:6">
      <c r="A22" t="s">
        <v>21</v>
      </c>
      <c r="B22" s="1" t="s">
        <v>896</v>
      </c>
      <c r="C22" s="1"/>
      <c r="D22" s="1">
        <v>7081.12</v>
      </c>
      <c r="E22" s="14">
        <f>IFERROR(VLOOKUP(D22,'[1]FinalGRAM-SAP (2)'!$A$4:$B$731,2,0),0)</f>
        <v>0</v>
      </c>
      <c r="F22" s="11">
        <v>10000</v>
      </c>
    </row>
    <row r="23" spans="1:6">
      <c r="A23" t="s">
        <v>22</v>
      </c>
      <c r="B23" s="1" t="s">
        <v>897</v>
      </c>
      <c r="C23" s="1"/>
      <c r="D23" s="1">
        <v>7081.13</v>
      </c>
      <c r="E23" s="14">
        <f>IFERROR(VLOOKUP(D23,'[1]FinalGRAM-SAP (2)'!$A$4:$B$731,2,0),0)</f>
        <v>0</v>
      </c>
      <c r="F23" s="11">
        <v>10000</v>
      </c>
    </row>
    <row r="24" spans="1:6">
      <c r="A24" t="s">
        <v>23</v>
      </c>
      <c r="B24" s="1" t="s">
        <v>898</v>
      </c>
      <c r="C24" s="1"/>
      <c r="D24" s="1">
        <v>7081.14</v>
      </c>
      <c r="E24" s="14">
        <f>IFERROR(VLOOKUP(D24,'[1]FinalGRAM-SAP (2)'!$A$4:$B$731,2,0),0)</f>
        <v>0</v>
      </c>
      <c r="F24" s="11">
        <v>10000</v>
      </c>
    </row>
    <row r="25" spans="1:6">
      <c r="A25" t="s">
        <v>24</v>
      </c>
      <c r="B25" s="1" t="s">
        <v>899</v>
      </c>
      <c r="C25" s="1"/>
      <c r="D25" s="1">
        <v>7081.15</v>
      </c>
      <c r="E25" s="14">
        <f>IFERROR(VLOOKUP(D25,'[1]FinalGRAM-SAP (2)'!$A$4:$B$731,2,0),0)</f>
        <v>0</v>
      </c>
      <c r="F25" s="11">
        <v>10000</v>
      </c>
    </row>
    <row r="26" spans="1:6" s="3" customFormat="1">
      <c r="A26" s="3" t="s">
        <v>25</v>
      </c>
      <c r="B26" s="2" t="s">
        <v>900</v>
      </c>
      <c r="C26" s="2"/>
      <c r="D26" s="2"/>
      <c r="E26" s="14">
        <f>IFERROR(VLOOKUP(D26,'[1]FinalGRAM-SAP (2)'!$A$4:$B$731,2,0),0)</f>
        <v>0</v>
      </c>
      <c r="F26" s="11">
        <v>10000</v>
      </c>
    </row>
    <row r="27" spans="1:6">
      <c r="A27" t="s">
        <v>26</v>
      </c>
      <c r="B27" s="1" t="s">
        <v>901</v>
      </c>
      <c r="C27" s="1"/>
      <c r="D27" s="1">
        <v>7082.01</v>
      </c>
      <c r="E27" s="14" t="str">
        <f>IFERROR(VLOOKUP(D27,'[1]FinalGRAM-SAP (2)'!$A$4:$B$731,2,0),0)</f>
        <v>IMPORT</v>
      </c>
      <c r="F27" s="11">
        <v>10000</v>
      </c>
    </row>
    <row r="28" spans="1:6">
      <c r="A28" t="s">
        <v>27</v>
      </c>
      <c r="B28" s="1" t="s">
        <v>902</v>
      </c>
      <c r="C28" s="1"/>
      <c r="D28" s="1">
        <v>7082.02</v>
      </c>
      <c r="E28" s="14" t="str">
        <f>IFERROR(VLOOKUP(D28,'[1]FinalGRAM-SAP (2)'!$A$4:$B$731,2,0),0)</f>
        <v>IMPORT</v>
      </c>
      <c r="F28" s="11">
        <v>10000</v>
      </c>
    </row>
    <row r="29" spans="1:6">
      <c r="A29" t="s">
        <v>28</v>
      </c>
      <c r="B29" s="1" t="s">
        <v>903</v>
      </c>
      <c r="C29" s="1"/>
      <c r="D29" s="1">
        <v>7082.03</v>
      </c>
      <c r="E29" s="14" t="str">
        <f>IFERROR(VLOOKUP(D29,'[1]FinalGRAM-SAP (2)'!$A$4:$B$731,2,0),0)</f>
        <v>IMPORT</v>
      </c>
      <c r="F29" s="11">
        <v>10000</v>
      </c>
    </row>
    <row r="30" spans="1:6">
      <c r="A30" t="s">
        <v>29</v>
      </c>
      <c r="B30" s="1" t="s">
        <v>904</v>
      </c>
      <c r="C30" s="1"/>
      <c r="D30" s="1">
        <v>7082.04</v>
      </c>
      <c r="E30" s="14" t="str">
        <f>IFERROR(VLOOKUP(D30,'[1]FinalGRAM-SAP (2)'!$A$4:$B$731,2,0),0)</f>
        <v>IMPORT</v>
      </c>
      <c r="F30" s="11">
        <v>10000</v>
      </c>
    </row>
    <row r="31" spans="1:6">
      <c r="A31" t="s">
        <v>30</v>
      </c>
      <c r="B31" s="1" t="s">
        <v>905</v>
      </c>
      <c r="C31" s="1"/>
      <c r="D31" s="1">
        <v>7082.05</v>
      </c>
      <c r="E31" s="14" t="str">
        <f>IFERROR(VLOOKUP(D31,'[1]FinalGRAM-SAP (2)'!$A$4:$B$731,2,0),0)</f>
        <v>IMPORT</v>
      </c>
      <c r="F31" s="11">
        <v>10000</v>
      </c>
    </row>
    <row r="32" spans="1:6">
      <c r="A32" t="s">
        <v>31</v>
      </c>
      <c r="B32" s="1" t="s">
        <v>906</v>
      </c>
      <c r="C32" s="1"/>
      <c r="D32" s="1">
        <v>7082.06</v>
      </c>
      <c r="E32" s="14" t="str">
        <f>IFERROR(VLOOKUP(D32,'[1]FinalGRAM-SAP (2)'!$A$4:$B$731,2,0),0)</f>
        <v>IMPORT</v>
      </c>
      <c r="F32" s="11">
        <v>10000</v>
      </c>
    </row>
    <row r="33" spans="1:6">
      <c r="A33" t="s">
        <v>32</v>
      </c>
      <c r="B33" s="1" t="s">
        <v>907</v>
      </c>
      <c r="C33" s="1"/>
      <c r="D33" s="1">
        <v>7082.07</v>
      </c>
      <c r="E33" s="14" t="str">
        <f>IFERROR(VLOOKUP(D33,'[1]FinalGRAM-SAP (2)'!$A$4:$B$731,2,0),0)</f>
        <v>IMPORT</v>
      </c>
      <c r="F33" s="11">
        <v>10000</v>
      </c>
    </row>
    <row r="34" spans="1:6">
      <c r="A34" t="s">
        <v>33</v>
      </c>
      <c r="B34" s="1" t="s">
        <v>908</v>
      </c>
      <c r="C34" s="1"/>
      <c r="D34" s="1">
        <v>7082.08</v>
      </c>
      <c r="E34" s="14" t="str">
        <f>IFERROR(VLOOKUP(D34,'[1]FinalGRAM-SAP (2)'!$A$4:$B$731,2,0),0)</f>
        <v>IMPORT</v>
      </c>
      <c r="F34" s="11">
        <v>10000</v>
      </c>
    </row>
    <row r="35" spans="1:6">
      <c r="A35" t="s">
        <v>34</v>
      </c>
      <c r="B35" s="1" t="s">
        <v>909</v>
      </c>
      <c r="C35" s="1"/>
      <c r="D35" s="1">
        <v>7082.09</v>
      </c>
      <c r="E35" s="14" t="str">
        <f>IFERROR(VLOOKUP(D35,'[1]FinalGRAM-SAP (2)'!$A$4:$B$731,2,0),0)</f>
        <v>IMPORT</v>
      </c>
      <c r="F35" s="11">
        <v>10000</v>
      </c>
    </row>
    <row r="36" spans="1:6">
      <c r="A36" t="s">
        <v>35</v>
      </c>
      <c r="B36" s="1" t="s">
        <v>910</v>
      </c>
      <c r="C36" s="1"/>
      <c r="D36" s="1">
        <v>7082.1</v>
      </c>
      <c r="E36" s="14" t="str">
        <f>IFERROR(VLOOKUP(D36,'[1]FinalGRAM-SAP (2)'!$A$4:$B$731,2,0),0)</f>
        <v>IMPORT</v>
      </c>
      <c r="F36" s="11">
        <v>10000</v>
      </c>
    </row>
    <row r="37" spans="1:6">
      <c r="A37" t="s">
        <v>36</v>
      </c>
      <c r="B37" s="1" t="s">
        <v>911</v>
      </c>
      <c r="C37" s="1"/>
      <c r="D37" s="1">
        <v>7082.11</v>
      </c>
      <c r="E37" s="14" t="str">
        <f>IFERROR(VLOOKUP(D37,'[1]FinalGRAM-SAP (2)'!$A$4:$B$731,2,0),0)</f>
        <v>IMPORT</v>
      </c>
      <c r="F37" s="11">
        <v>10000</v>
      </c>
    </row>
    <row r="38" spans="1:6">
      <c r="A38" t="s">
        <v>37</v>
      </c>
      <c r="B38" s="1" t="s">
        <v>912</v>
      </c>
      <c r="C38" s="1"/>
      <c r="D38" s="1">
        <v>7082.12</v>
      </c>
      <c r="E38" s="14" t="str">
        <f>IFERROR(VLOOKUP(D38,'[1]FinalGRAM-SAP (2)'!$A$4:$B$731,2,0),0)</f>
        <v>IMPORT</v>
      </c>
      <c r="F38" s="11">
        <v>10000</v>
      </c>
    </row>
    <row r="39" spans="1:6">
      <c r="A39" t="s">
        <v>38</v>
      </c>
      <c r="B39" s="1" t="s">
        <v>913</v>
      </c>
      <c r="C39" s="1"/>
      <c r="D39" s="1">
        <v>7082.13</v>
      </c>
      <c r="E39" s="14" t="str">
        <f>IFERROR(VLOOKUP(D39,'[1]FinalGRAM-SAP (2)'!$A$4:$B$731,2,0),0)</f>
        <v>IMPORT</v>
      </c>
      <c r="F39" s="11">
        <v>10000</v>
      </c>
    </row>
    <row r="40" spans="1:6">
      <c r="A40" t="s">
        <v>39</v>
      </c>
      <c r="B40" s="1" t="s">
        <v>914</v>
      </c>
      <c r="C40" s="1"/>
      <c r="D40" s="1">
        <v>7082.14</v>
      </c>
      <c r="E40" s="14" t="str">
        <f>IFERROR(VLOOKUP(D40,'[1]FinalGRAM-SAP (2)'!$A$4:$B$731,2,0),0)</f>
        <v>IMPORT</v>
      </c>
      <c r="F40" s="11">
        <v>10000</v>
      </c>
    </row>
    <row r="41" spans="1:6">
      <c r="A41" t="s">
        <v>40</v>
      </c>
      <c r="B41" s="1" t="s">
        <v>915</v>
      </c>
      <c r="C41" s="1"/>
      <c r="D41" s="1">
        <v>7082.15</v>
      </c>
      <c r="E41" s="14" t="str">
        <f>IFERROR(VLOOKUP(D41,'[1]FinalGRAM-SAP (2)'!$A$4:$B$731,2,0),0)</f>
        <v>IMPORT</v>
      </c>
      <c r="F41" s="11">
        <v>10000</v>
      </c>
    </row>
    <row r="42" spans="1:6">
      <c r="A42" t="s">
        <v>41</v>
      </c>
      <c r="B42" s="1" t="s">
        <v>916</v>
      </c>
      <c r="C42" s="1"/>
      <c r="D42" s="1">
        <v>7082.16</v>
      </c>
      <c r="E42" s="14" t="str">
        <f>IFERROR(VLOOKUP(D42,'[1]FinalGRAM-SAP (2)'!$A$4:$B$731,2,0),0)</f>
        <v>IMPORT</v>
      </c>
      <c r="F42" s="11">
        <v>10000</v>
      </c>
    </row>
    <row r="43" spans="1:6">
      <c r="A43" t="s">
        <v>42</v>
      </c>
      <c r="B43" s="1" t="s">
        <v>917</v>
      </c>
      <c r="C43" s="1"/>
      <c r="D43" s="1">
        <v>7082.17</v>
      </c>
      <c r="E43" s="14" t="str">
        <f>IFERROR(VLOOKUP(D43,'[1]FinalGRAM-SAP (2)'!$A$4:$B$731,2,0),0)</f>
        <v>IMPORT</v>
      </c>
      <c r="F43" s="11">
        <v>10000</v>
      </c>
    </row>
    <row r="44" spans="1:6">
      <c r="A44" t="s">
        <v>43</v>
      </c>
      <c r="B44" s="1" t="s">
        <v>918</v>
      </c>
      <c r="C44" s="1"/>
      <c r="D44" s="1">
        <v>7082.18</v>
      </c>
      <c r="E44" s="14" t="str">
        <f>IFERROR(VLOOKUP(D44,'[1]FinalGRAM-SAP (2)'!$A$4:$B$731,2,0),0)</f>
        <v>IMPORT</v>
      </c>
      <c r="F44" s="11">
        <v>10000</v>
      </c>
    </row>
    <row r="45" spans="1:6">
      <c r="A45" t="s">
        <v>44</v>
      </c>
      <c r="B45" s="1" t="s">
        <v>919</v>
      </c>
      <c r="C45" s="1"/>
      <c r="D45" s="1">
        <v>7082.19</v>
      </c>
      <c r="E45" s="14" t="str">
        <f>IFERROR(VLOOKUP(D45,'[1]FinalGRAM-SAP (2)'!$A$4:$B$731,2,0),0)</f>
        <v>IMPORT</v>
      </c>
      <c r="F45" s="11">
        <v>10000</v>
      </c>
    </row>
    <row r="46" spans="1:6">
      <c r="A46" t="s">
        <v>45</v>
      </c>
      <c r="B46" s="1" t="s">
        <v>920</v>
      </c>
      <c r="C46" s="1"/>
      <c r="D46" s="1">
        <v>7082.2</v>
      </c>
      <c r="E46" s="14" t="str">
        <f>IFERROR(VLOOKUP(D46,'[1]FinalGRAM-SAP (2)'!$A$4:$B$731,2,0),0)</f>
        <v>IMPORT</v>
      </c>
      <c r="F46" s="11">
        <v>10000</v>
      </c>
    </row>
    <row r="47" spans="1:6">
      <c r="A47" t="s">
        <v>46</v>
      </c>
      <c r="B47" s="1" t="s">
        <v>921</v>
      </c>
      <c r="C47" s="1"/>
      <c r="D47" s="1">
        <v>7082.21</v>
      </c>
      <c r="E47" s="14" t="str">
        <f>IFERROR(VLOOKUP(D47,'[1]FinalGRAM-SAP (2)'!$A$4:$B$731,2,0),0)</f>
        <v>IMPORT</v>
      </c>
      <c r="F47" s="11">
        <v>10000</v>
      </c>
    </row>
    <row r="48" spans="1:6">
      <c r="A48" t="s">
        <v>47</v>
      </c>
      <c r="B48" s="1" t="s">
        <v>922</v>
      </c>
      <c r="C48" s="1"/>
      <c r="D48" s="1">
        <v>7082.22</v>
      </c>
      <c r="E48" s="14" t="str">
        <f>IFERROR(VLOOKUP(D48,'[1]FinalGRAM-SAP (2)'!$A$4:$B$731,2,0),0)</f>
        <v>IMPORT</v>
      </c>
      <c r="F48" s="11">
        <v>10000</v>
      </c>
    </row>
    <row r="49" spans="1:6">
      <c r="A49" t="s">
        <v>48</v>
      </c>
      <c r="B49" s="1" t="s">
        <v>923</v>
      </c>
      <c r="C49" s="1"/>
      <c r="D49" s="1">
        <v>7082.2300000000096</v>
      </c>
      <c r="E49" s="14">
        <f>IFERROR(VLOOKUP(D49,'[1]FinalGRAM-SAP (2)'!$A$4:$B$731,2,0),0)</f>
        <v>0</v>
      </c>
      <c r="F49" s="11">
        <v>10000</v>
      </c>
    </row>
    <row r="50" spans="1:6">
      <c r="A50" t="s">
        <v>49</v>
      </c>
      <c r="B50" s="1" t="s">
        <v>924</v>
      </c>
      <c r="C50" s="1"/>
      <c r="D50" s="1">
        <v>7082.2400000000098</v>
      </c>
      <c r="E50" s="14">
        <f>IFERROR(VLOOKUP(D50,'[1]FinalGRAM-SAP (2)'!$A$4:$B$731,2,0),0)</f>
        <v>0</v>
      </c>
      <c r="F50" s="11">
        <v>10000</v>
      </c>
    </row>
    <row r="51" spans="1:6">
      <c r="A51" t="s">
        <v>50</v>
      </c>
      <c r="B51" s="1" t="s">
        <v>925</v>
      </c>
      <c r="C51" s="1"/>
      <c r="D51" s="1">
        <v>7082.25000000001</v>
      </c>
      <c r="E51" s="14">
        <f>IFERROR(VLOOKUP(D51,'[1]FinalGRAM-SAP (2)'!$A$4:$B$731,2,0),0)</f>
        <v>0</v>
      </c>
      <c r="F51" s="11">
        <v>10000</v>
      </c>
    </row>
    <row r="52" spans="1:6">
      <c r="A52" t="s">
        <v>51</v>
      </c>
      <c r="B52" s="1" t="s">
        <v>926</v>
      </c>
      <c r="C52" s="1"/>
      <c r="D52" s="1">
        <v>7082.2600000000102</v>
      </c>
      <c r="E52" s="14">
        <f>IFERROR(VLOOKUP(D52,'[1]FinalGRAM-SAP (2)'!$A$4:$B$731,2,0),0)</f>
        <v>0</v>
      </c>
      <c r="F52" s="11">
        <v>10000</v>
      </c>
    </row>
    <row r="53" spans="1:6">
      <c r="A53" t="s">
        <v>52</v>
      </c>
      <c r="B53" s="1" t="s">
        <v>927</v>
      </c>
      <c r="C53" s="1"/>
      <c r="D53" s="1">
        <v>7082.2700000000104</v>
      </c>
      <c r="E53" s="14">
        <f>IFERROR(VLOOKUP(D53,'[1]FinalGRAM-SAP (2)'!$A$4:$B$731,2,0),0)</f>
        <v>0</v>
      </c>
      <c r="F53" s="11">
        <v>10000</v>
      </c>
    </row>
    <row r="54" spans="1:6">
      <c r="A54" t="s">
        <v>53</v>
      </c>
      <c r="B54" s="1" t="s">
        <v>928</v>
      </c>
      <c r="C54" s="1"/>
      <c r="D54" s="1">
        <v>7082.2800000000097</v>
      </c>
      <c r="E54" s="14">
        <f>IFERROR(VLOOKUP(D54,'[1]FinalGRAM-SAP (2)'!$A$4:$B$731,2,0),0)</f>
        <v>0</v>
      </c>
      <c r="F54" s="11">
        <v>10000</v>
      </c>
    </row>
    <row r="55" spans="1:6">
      <c r="A55" t="s">
        <v>54</v>
      </c>
      <c r="B55" s="1" t="s">
        <v>929</v>
      </c>
      <c r="C55" s="1"/>
      <c r="D55" s="1">
        <v>7082.29000000001</v>
      </c>
      <c r="E55" s="14">
        <f>IFERROR(VLOOKUP(D55,'[1]FinalGRAM-SAP (2)'!$A$4:$B$731,2,0),0)</f>
        <v>0</v>
      </c>
      <c r="F55" s="11">
        <v>10000</v>
      </c>
    </row>
    <row r="56" spans="1:6" s="3" customFormat="1">
      <c r="A56" s="3" t="s">
        <v>55</v>
      </c>
      <c r="B56" s="2" t="s">
        <v>930</v>
      </c>
      <c r="C56" s="2"/>
      <c r="D56" s="2"/>
      <c r="E56" s="14">
        <f>IFERROR(VLOOKUP(D56,'[1]FinalGRAM-SAP (2)'!$A$4:$B$731,2,0),0)</f>
        <v>0</v>
      </c>
      <c r="F56" s="11">
        <v>10000</v>
      </c>
    </row>
    <row r="57" spans="1:6">
      <c r="A57" t="s">
        <v>56</v>
      </c>
      <c r="B57" s="1" t="s">
        <v>931</v>
      </c>
      <c r="C57" s="1"/>
      <c r="D57" s="1">
        <v>7083.01</v>
      </c>
      <c r="E57" s="14" t="str">
        <f>IFERROR(VLOOKUP(D57,'[1]FinalGRAM-SAP (2)'!$A$4:$B$731,2,0),0)</f>
        <v>EXPORT</v>
      </c>
      <c r="F57" s="11">
        <v>10000</v>
      </c>
    </row>
    <row r="58" spans="1:6">
      <c r="A58" t="s">
        <v>57</v>
      </c>
      <c r="B58" s="1" t="s">
        <v>932</v>
      </c>
      <c r="C58" s="1"/>
      <c r="D58" s="1">
        <v>7083.02</v>
      </c>
      <c r="E58" s="14" t="str">
        <f>IFERROR(VLOOKUP(D58,'[1]FinalGRAM-SAP (2)'!$A$4:$B$731,2,0),0)</f>
        <v>EXPORT</v>
      </c>
      <c r="F58" s="11">
        <v>10000</v>
      </c>
    </row>
    <row r="59" spans="1:6">
      <c r="A59" t="s">
        <v>58</v>
      </c>
      <c r="B59" s="1" t="s">
        <v>933</v>
      </c>
      <c r="C59" s="1"/>
      <c r="D59" s="1">
        <v>7083.03</v>
      </c>
      <c r="E59" s="14" t="str">
        <f>IFERROR(VLOOKUP(D59,'[1]FinalGRAM-SAP (2)'!$A$4:$B$731,2,0),0)</f>
        <v>EXPORT</v>
      </c>
      <c r="F59" s="11">
        <v>10000</v>
      </c>
    </row>
    <row r="60" spans="1:6">
      <c r="A60" t="s">
        <v>59</v>
      </c>
      <c r="B60" s="1" t="s">
        <v>934</v>
      </c>
      <c r="C60" s="1"/>
      <c r="D60" s="1">
        <v>7083.04</v>
      </c>
      <c r="E60" s="14" t="str">
        <f>IFERROR(VLOOKUP(D60,'[1]FinalGRAM-SAP (2)'!$A$4:$B$731,2,0),0)</f>
        <v>EXPORT</v>
      </c>
      <c r="F60" s="11">
        <v>10000</v>
      </c>
    </row>
    <row r="61" spans="1:6">
      <c r="A61" t="s">
        <v>60</v>
      </c>
      <c r="B61" s="1" t="s">
        <v>935</v>
      </c>
      <c r="C61" s="1"/>
      <c r="D61" s="1">
        <v>7083.05</v>
      </c>
      <c r="E61" s="14" t="str">
        <f>IFERROR(VLOOKUP(D61,'[1]FinalGRAM-SAP (2)'!$A$4:$B$731,2,0),0)</f>
        <v>EXPORT</v>
      </c>
      <c r="F61" s="11">
        <v>10000</v>
      </c>
    </row>
    <row r="62" spans="1:6">
      <c r="A62" t="s">
        <v>61</v>
      </c>
      <c r="B62" s="1" t="s">
        <v>936</v>
      </c>
      <c r="C62" s="1"/>
      <c r="D62" s="1">
        <v>7083.06</v>
      </c>
      <c r="E62" s="14" t="str">
        <f>IFERROR(VLOOKUP(D62,'[1]FinalGRAM-SAP (2)'!$A$4:$B$731,2,0),0)</f>
        <v>EXPORT</v>
      </c>
      <c r="F62" s="11">
        <v>10000</v>
      </c>
    </row>
    <row r="63" spans="1:6">
      <c r="A63" t="s">
        <v>62</v>
      </c>
      <c r="B63" s="1" t="s">
        <v>937</v>
      </c>
      <c r="C63" s="1"/>
      <c r="D63" s="1">
        <v>7083.07</v>
      </c>
      <c r="E63" s="14" t="str">
        <f>IFERROR(VLOOKUP(D63,'[1]FinalGRAM-SAP (2)'!$A$4:$B$731,2,0),0)</f>
        <v>EXPORT</v>
      </c>
      <c r="F63" s="11">
        <v>10000</v>
      </c>
    </row>
    <row r="64" spans="1:6">
      <c r="A64" t="s">
        <v>63</v>
      </c>
      <c r="B64" s="1" t="s">
        <v>938</v>
      </c>
      <c r="C64" s="1"/>
      <c r="D64" s="1">
        <v>7083.08</v>
      </c>
      <c r="E64" s="14" t="str">
        <f>IFERROR(VLOOKUP(D64,'[1]FinalGRAM-SAP (2)'!$A$4:$B$731,2,0),0)</f>
        <v>EXPORT</v>
      </c>
      <c r="F64" s="11">
        <v>10000</v>
      </c>
    </row>
    <row r="65" spans="1:6">
      <c r="A65" t="s">
        <v>64</v>
      </c>
      <c r="B65" s="1" t="s">
        <v>939</v>
      </c>
      <c r="C65" s="1"/>
      <c r="D65" s="1">
        <v>7083.09</v>
      </c>
      <c r="E65" s="14">
        <f>IFERROR(VLOOKUP(D65,'[1]FinalGRAM-SAP (2)'!$A$4:$B$731,2,0),0)</f>
        <v>0</v>
      </c>
      <c r="F65" s="11">
        <v>10000</v>
      </c>
    </row>
    <row r="66" spans="1:6">
      <c r="A66" t="s">
        <v>65</v>
      </c>
      <c r="B66" s="1" t="s">
        <v>940</v>
      </c>
      <c r="C66" s="1"/>
      <c r="D66" s="1">
        <v>7083.1</v>
      </c>
      <c r="E66" s="14">
        <f>IFERROR(VLOOKUP(D66,'[1]FinalGRAM-SAP (2)'!$A$4:$B$731,2,0),0)</f>
        <v>0</v>
      </c>
      <c r="F66" s="11">
        <v>10000</v>
      </c>
    </row>
    <row r="67" spans="1:6">
      <c r="A67" t="s">
        <v>66</v>
      </c>
      <c r="B67" s="1" t="s">
        <v>941</v>
      </c>
      <c r="C67" s="1"/>
      <c r="D67" s="1">
        <v>7083.11</v>
      </c>
      <c r="E67" s="14">
        <f>IFERROR(VLOOKUP(D67,'[1]FinalGRAM-SAP (2)'!$A$4:$B$731,2,0),0)</f>
        <v>0</v>
      </c>
      <c r="F67" s="11">
        <v>10000</v>
      </c>
    </row>
    <row r="68" spans="1:6">
      <c r="A68" t="s">
        <v>67</v>
      </c>
      <c r="B68" s="1" t="s">
        <v>942</v>
      </c>
      <c r="C68" s="1"/>
      <c r="D68" s="1">
        <v>7083.12</v>
      </c>
      <c r="E68" s="14">
        <f>IFERROR(VLOOKUP(D68,'[1]FinalGRAM-SAP (2)'!$A$4:$B$731,2,0),0)</f>
        <v>0</v>
      </c>
      <c r="F68" s="11">
        <v>10000</v>
      </c>
    </row>
    <row r="69" spans="1:6">
      <c r="A69" t="s">
        <v>68</v>
      </c>
      <c r="B69" s="1" t="s">
        <v>943</v>
      </c>
      <c r="C69" s="1"/>
      <c r="D69" s="1">
        <v>7083.13</v>
      </c>
      <c r="E69" s="14">
        <f>IFERROR(VLOOKUP(D69,'[1]FinalGRAM-SAP (2)'!$A$4:$B$731,2,0),0)</f>
        <v>0</v>
      </c>
      <c r="F69" s="11">
        <v>10000</v>
      </c>
    </row>
    <row r="70" spans="1:6" s="3" customFormat="1">
      <c r="A70" s="3" t="s">
        <v>69</v>
      </c>
      <c r="B70" s="2" t="s">
        <v>944</v>
      </c>
      <c r="C70" s="2"/>
      <c r="D70" s="2">
        <v>7084</v>
      </c>
      <c r="E70" s="14">
        <f>IFERROR(VLOOKUP(D70,'[1]FinalGRAM-SAP (2)'!$A$4:$B$731,2,0),0)</f>
        <v>0</v>
      </c>
      <c r="F70" s="12">
        <v>10000</v>
      </c>
    </row>
    <row r="71" spans="1:6">
      <c r="A71" t="s">
        <v>70</v>
      </c>
      <c r="B71" s="1" t="s">
        <v>945</v>
      </c>
      <c r="C71" s="1"/>
      <c r="D71" s="1">
        <v>7084.01</v>
      </c>
      <c r="E71" s="14">
        <f>IFERROR(VLOOKUP(D71,'[1]FinalGRAM-SAP (2)'!$A$4:$B$731,2,0),0)</f>
        <v>0</v>
      </c>
      <c r="F71" s="11">
        <v>10000</v>
      </c>
    </row>
    <row r="72" spans="1:6" s="3" customFormat="1">
      <c r="A72" s="3" t="s">
        <v>71</v>
      </c>
      <c r="B72" s="2" t="s">
        <v>946</v>
      </c>
      <c r="C72" s="2"/>
      <c r="D72" s="2"/>
      <c r="E72" s="14">
        <f>IFERROR(VLOOKUP(D72,'[1]FinalGRAM-SAP (2)'!$A$4:$B$731,2,0),0)</f>
        <v>0</v>
      </c>
      <c r="F72" s="11">
        <v>10000</v>
      </c>
    </row>
    <row r="73" spans="1:6">
      <c r="A73" t="s">
        <v>72</v>
      </c>
      <c r="B73" s="1" t="s">
        <v>947</v>
      </c>
      <c r="C73" s="1"/>
      <c r="D73" s="1">
        <v>7085.01</v>
      </c>
      <c r="E73" s="14">
        <f>IFERROR(VLOOKUP(D73,'[1]FinalGRAM-SAP (2)'!$A$4:$B$731,2,0),0)</f>
        <v>0</v>
      </c>
      <c r="F73" s="11">
        <v>10000</v>
      </c>
    </row>
    <row r="74" spans="1:6">
      <c r="A74" t="s">
        <v>73</v>
      </c>
      <c r="B74" s="1" t="s">
        <v>948</v>
      </c>
      <c r="C74" s="1"/>
      <c r="D74" s="1">
        <v>7085.02</v>
      </c>
      <c r="E74" s="14">
        <f>IFERROR(VLOOKUP(D74,'[1]FinalGRAM-SAP (2)'!$A$4:$B$731,2,0),0)</f>
        <v>0</v>
      </c>
      <c r="F74" s="11">
        <v>10000</v>
      </c>
    </row>
    <row r="75" spans="1:6">
      <c r="A75" t="s">
        <v>74</v>
      </c>
      <c r="B75" s="1" t="s">
        <v>949</v>
      </c>
      <c r="C75" s="1"/>
      <c r="D75" s="1">
        <v>7085.03</v>
      </c>
      <c r="E75" s="14" t="str">
        <f>IFERROR(VLOOKUP(D75,'[1]FinalGRAM-SAP (2)'!$A$4:$B$731,2,0),0)</f>
        <v>EMPTY</v>
      </c>
      <c r="F75" s="11">
        <v>10000</v>
      </c>
    </row>
    <row r="76" spans="1:6">
      <c r="A76" t="s">
        <v>75</v>
      </c>
      <c r="B76" s="1" t="s">
        <v>950</v>
      </c>
      <c r="C76" s="1"/>
      <c r="D76" s="1">
        <v>7085.04</v>
      </c>
      <c r="E76" s="14" t="str">
        <f>IFERROR(VLOOKUP(D76,'[1]FinalGRAM-SAP (2)'!$A$4:$B$731,2,0),0)</f>
        <v>EMPTY</v>
      </c>
      <c r="F76" s="11">
        <v>10000</v>
      </c>
    </row>
    <row r="77" spans="1:6">
      <c r="A77" t="s">
        <v>76</v>
      </c>
      <c r="B77" s="1" t="s">
        <v>951</v>
      </c>
      <c r="C77" s="1"/>
      <c r="D77" s="1">
        <v>7085.05</v>
      </c>
      <c r="E77" s="14">
        <f>IFERROR(VLOOKUP(D77,'[1]FinalGRAM-SAP (2)'!$A$4:$B$731,2,0),0)</f>
        <v>0</v>
      </c>
      <c r="F77" s="11">
        <v>10000</v>
      </c>
    </row>
    <row r="78" spans="1:6">
      <c r="A78" t="s">
        <v>77</v>
      </c>
      <c r="B78" s="1" t="s">
        <v>952</v>
      </c>
      <c r="C78" s="1"/>
      <c r="D78" s="1">
        <v>7085.06</v>
      </c>
      <c r="E78" s="14" t="str">
        <f>IFERROR(VLOOKUP(D78,'[1]FinalGRAM-SAP (2)'!$A$4:$B$731,2,0),0)</f>
        <v>EMPTY</v>
      </c>
      <c r="F78" s="11">
        <v>10000</v>
      </c>
    </row>
    <row r="79" spans="1:6">
      <c r="A79" t="s">
        <v>78</v>
      </c>
      <c r="B79" s="1" t="s">
        <v>953</v>
      </c>
      <c r="C79" s="1"/>
      <c r="D79" s="1">
        <v>7085.07</v>
      </c>
      <c r="E79" s="14">
        <f>IFERROR(VLOOKUP(D79,'[1]FinalGRAM-SAP (2)'!$A$4:$B$731,2,0),0)</f>
        <v>0</v>
      </c>
      <c r="F79" s="11">
        <v>10000</v>
      </c>
    </row>
    <row r="80" spans="1:6">
      <c r="A80" t="s">
        <v>79</v>
      </c>
      <c r="B80" s="1" t="s">
        <v>954</v>
      </c>
      <c r="C80" s="1"/>
      <c r="D80" s="1">
        <v>7085.08</v>
      </c>
      <c r="E80" s="14" t="str">
        <f>IFERROR(VLOOKUP(D80,'[1]FinalGRAM-SAP (2)'!$A$4:$B$731,2,0),0)</f>
        <v>EMPTY</v>
      </c>
      <c r="F80" s="11">
        <v>10000</v>
      </c>
    </row>
    <row r="81" spans="1:6">
      <c r="A81" t="s">
        <v>80</v>
      </c>
      <c r="B81" s="1" t="s">
        <v>955</v>
      </c>
      <c r="C81" s="1"/>
      <c r="D81" s="1">
        <v>7085.09</v>
      </c>
      <c r="E81" s="14" t="str">
        <f>IFERROR(VLOOKUP(D81,'[1]FinalGRAM-SAP (2)'!$A$4:$B$731,2,0),0)</f>
        <v>EMPTY</v>
      </c>
      <c r="F81" s="11">
        <v>10000</v>
      </c>
    </row>
    <row r="82" spans="1:6">
      <c r="A82" t="s">
        <v>81</v>
      </c>
      <c r="B82" s="1" t="s">
        <v>956</v>
      </c>
      <c r="C82" s="1"/>
      <c r="D82" s="1">
        <v>7085.1</v>
      </c>
      <c r="E82" s="14">
        <f>IFERROR(VLOOKUP(D82,'[1]FinalGRAM-SAP (2)'!$A$4:$B$731,2,0),0)</f>
        <v>0</v>
      </c>
      <c r="F82" s="11">
        <v>10000</v>
      </c>
    </row>
    <row r="83" spans="1:6">
      <c r="A83" t="s">
        <v>82</v>
      </c>
      <c r="B83" s="1" t="s">
        <v>957</v>
      </c>
      <c r="C83" s="1"/>
      <c r="D83" s="1">
        <v>7085.11</v>
      </c>
      <c r="E83" s="14">
        <f>IFERROR(VLOOKUP(D83,'[1]FinalGRAM-SAP (2)'!$A$4:$B$731,2,0),0)</f>
        <v>0</v>
      </c>
      <c r="F83" s="11">
        <v>10000</v>
      </c>
    </row>
    <row r="84" spans="1:6">
      <c r="A84" t="s">
        <v>83</v>
      </c>
      <c r="B84" s="1" t="s">
        <v>958</v>
      </c>
      <c r="C84" s="1"/>
      <c r="D84" s="1">
        <v>7085.12</v>
      </c>
      <c r="E84" s="14">
        <f>IFERROR(VLOOKUP(D84,'[1]FinalGRAM-SAP (2)'!$A$4:$B$731,2,0),0)</f>
        <v>0</v>
      </c>
      <c r="F84" s="11">
        <v>10000</v>
      </c>
    </row>
    <row r="85" spans="1:6">
      <c r="A85" t="s">
        <v>84</v>
      </c>
      <c r="B85" s="1" t="s">
        <v>959</v>
      </c>
      <c r="C85" s="1"/>
      <c r="D85" s="1">
        <v>7085.13</v>
      </c>
      <c r="E85" s="14">
        <f>IFERROR(VLOOKUP(D85,'[1]FinalGRAM-SAP (2)'!$A$4:$B$731,2,0),0)</f>
        <v>0</v>
      </c>
      <c r="F85" s="11">
        <v>10000</v>
      </c>
    </row>
    <row r="86" spans="1:6">
      <c r="A86" t="s">
        <v>85</v>
      </c>
      <c r="B86" s="1" t="s">
        <v>960</v>
      </c>
      <c r="C86" s="1"/>
      <c r="D86" s="1">
        <v>7085.14</v>
      </c>
      <c r="E86" s="14">
        <f>IFERROR(VLOOKUP(D86,'[1]FinalGRAM-SAP (2)'!$A$4:$B$731,2,0),0)</f>
        <v>0</v>
      </c>
      <c r="F86" s="11">
        <v>10000</v>
      </c>
    </row>
    <row r="87" spans="1:6">
      <c r="A87" t="s">
        <v>86</v>
      </c>
      <c r="B87" s="1" t="s">
        <v>961</v>
      </c>
      <c r="C87" s="1"/>
      <c r="D87" s="1">
        <v>7085.15</v>
      </c>
      <c r="E87" s="14">
        <f>IFERROR(VLOOKUP(D87,'[1]FinalGRAM-SAP (2)'!$A$4:$B$731,2,0),0)</f>
        <v>0</v>
      </c>
      <c r="F87" s="11">
        <v>10000</v>
      </c>
    </row>
    <row r="88" spans="1:6">
      <c r="A88" t="s">
        <v>87</v>
      </c>
      <c r="B88" s="1" t="s">
        <v>962</v>
      </c>
      <c r="C88" s="1"/>
      <c r="D88" s="1">
        <v>7085.16</v>
      </c>
      <c r="E88" s="14">
        <f>IFERROR(VLOOKUP(D88,'[1]FinalGRAM-SAP (2)'!$A$4:$B$731,2,0),0)</f>
        <v>0</v>
      </c>
      <c r="F88" s="11">
        <v>10000</v>
      </c>
    </row>
    <row r="89" spans="1:6">
      <c r="A89" t="s">
        <v>88</v>
      </c>
      <c r="B89" s="1" t="s">
        <v>963</v>
      </c>
      <c r="C89" s="1"/>
      <c r="D89" s="1">
        <v>7085.17</v>
      </c>
      <c r="E89" s="14">
        <f>IFERROR(VLOOKUP(D89,'[1]FinalGRAM-SAP (2)'!$A$4:$B$731,2,0),0)</f>
        <v>0</v>
      </c>
      <c r="F89" s="11">
        <v>10000</v>
      </c>
    </row>
    <row r="90" spans="1:6">
      <c r="A90" t="s">
        <v>89</v>
      </c>
      <c r="B90" s="1" t="s">
        <v>964</v>
      </c>
      <c r="C90" s="1"/>
      <c r="D90" s="1">
        <v>7085.18</v>
      </c>
      <c r="E90" s="14">
        <f>IFERROR(VLOOKUP(D90,'[1]FinalGRAM-SAP (2)'!$A$4:$B$731,2,0),0)</f>
        <v>0</v>
      </c>
      <c r="F90" s="11">
        <v>10000</v>
      </c>
    </row>
    <row r="91" spans="1:6" s="3" customFormat="1">
      <c r="A91" s="3" t="s">
        <v>90</v>
      </c>
      <c r="B91" s="2" t="s">
        <v>965</v>
      </c>
      <c r="C91" s="2"/>
      <c r="D91" s="2"/>
      <c r="E91" s="14">
        <f>IFERROR(VLOOKUP(D91,'[1]FinalGRAM-SAP (2)'!$A$4:$B$731,2,0),0)</f>
        <v>0</v>
      </c>
      <c r="F91" s="11">
        <v>10000</v>
      </c>
    </row>
    <row r="92" spans="1:6">
      <c r="A92" t="s">
        <v>91</v>
      </c>
      <c r="B92" s="1" t="s">
        <v>966</v>
      </c>
      <c r="C92" s="1"/>
      <c r="D92" s="1">
        <v>7086.01</v>
      </c>
      <c r="E92" s="14" t="str">
        <f>IFERROR(VLOOKUP(D92,'[1]FinalGRAM-SAP (2)'!$A$4:$B$731,2,0),0)</f>
        <v>OTHER</v>
      </c>
      <c r="F92" s="11">
        <v>10000</v>
      </c>
    </row>
    <row r="93" spans="1:6">
      <c r="A93" t="s">
        <v>92</v>
      </c>
      <c r="B93" s="1" t="s">
        <v>967</v>
      </c>
      <c r="C93" s="1"/>
      <c r="D93" s="1">
        <v>7086.02</v>
      </c>
      <c r="E93" s="14" t="str">
        <f>IFERROR(VLOOKUP(D93,'[1]FinalGRAM-SAP (2)'!$A$4:$B$731,2,0),0)</f>
        <v>OTHER</v>
      </c>
      <c r="F93" s="11">
        <v>10000</v>
      </c>
    </row>
    <row r="94" spans="1:6">
      <c r="A94" t="s">
        <v>93</v>
      </c>
      <c r="B94" s="1" t="s">
        <v>968</v>
      </c>
      <c r="C94" s="1"/>
      <c r="D94" s="1">
        <v>7086.03</v>
      </c>
      <c r="E94" s="14" t="str">
        <f>IFERROR(VLOOKUP(D94,'[1]FinalGRAM-SAP (2)'!$A$4:$B$731,2,0),0)</f>
        <v>OTHER</v>
      </c>
      <c r="F94" s="11">
        <v>10000</v>
      </c>
    </row>
    <row r="95" spans="1:6">
      <c r="A95" t="s">
        <v>94</v>
      </c>
      <c r="B95" s="1" t="s">
        <v>969</v>
      </c>
      <c r="C95" s="1"/>
      <c r="D95" s="1">
        <v>7086.04</v>
      </c>
      <c r="E95" s="14" t="str">
        <f>IFERROR(VLOOKUP(D95,'[1]FinalGRAM-SAP (2)'!$A$4:$B$731,2,0),0)</f>
        <v>OTHER</v>
      </c>
      <c r="F95" s="11">
        <v>10000</v>
      </c>
    </row>
    <row r="96" spans="1:6">
      <c r="A96" t="s">
        <v>95</v>
      </c>
      <c r="B96" s="1" t="s">
        <v>970</v>
      </c>
      <c r="C96" s="1"/>
      <c r="D96" s="1">
        <v>7086.05</v>
      </c>
      <c r="E96" s="14" t="str">
        <f>IFERROR(VLOOKUP(D96,'[1]FinalGRAM-SAP (2)'!$A$4:$B$731,2,0),0)</f>
        <v>OTHER</v>
      </c>
      <c r="F96" s="11">
        <v>10000</v>
      </c>
    </row>
    <row r="97" spans="1:6">
      <c r="A97" t="s">
        <v>96</v>
      </c>
      <c r="B97" s="1" t="s">
        <v>971</v>
      </c>
      <c r="C97" s="1"/>
      <c r="D97" s="1">
        <v>7086.06</v>
      </c>
      <c r="E97" s="14" t="str">
        <f>IFERROR(VLOOKUP(D97,'[1]FinalGRAM-SAP (2)'!$A$4:$B$731,2,0),0)</f>
        <v>OTHER</v>
      </c>
      <c r="F97" s="11">
        <v>10000</v>
      </c>
    </row>
    <row r="98" spans="1:6">
      <c r="A98" t="s">
        <v>97</v>
      </c>
      <c r="B98" s="1" t="s">
        <v>972</v>
      </c>
      <c r="C98" s="1"/>
      <c r="D98" s="1">
        <v>7086.07</v>
      </c>
      <c r="E98" s="14" t="str">
        <f>IFERROR(VLOOKUP(D98,'[1]FinalGRAM-SAP (2)'!$A$4:$B$731,2,0),0)</f>
        <v>OTHER</v>
      </c>
      <c r="F98" s="11">
        <v>10000</v>
      </c>
    </row>
    <row r="99" spans="1:6">
      <c r="A99" t="s">
        <v>98</v>
      </c>
      <c r="B99" s="1" t="s">
        <v>973</v>
      </c>
      <c r="C99" s="1"/>
      <c r="D99" s="1">
        <v>7086.08</v>
      </c>
      <c r="E99" s="14" t="str">
        <f>IFERROR(VLOOKUP(D99,'[1]FinalGRAM-SAP (2)'!$A$4:$B$731,2,0),0)</f>
        <v>OTHER</v>
      </c>
      <c r="F99" s="11">
        <v>10000</v>
      </c>
    </row>
    <row r="100" spans="1:6" s="3" customFormat="1">
      <c r="A100" s="3" t="s">
        <v>99</v>
      </c>
      <c r="B100" s="2" t="s">
        <v>974</v>
      </c>
      <c r="C100" s="2"/>
      <c r="D100" s="2">
        <v>7086.09</v>
      </c>
      <c r="E100" s="14" t="str">
        <f>IFERROR(VLOOKUP(D100,'[1]FinalGRAM-SAP (2)'!$A$4:$B$731,2,0),0)</f>
        <v>OTHER</v>
      </c>
      <c r="F100" s="12">
        <v>10000</v>
      </c>
    </row>
    <row r="101" spans="1:6">
      <c r="A101" t="s">
        <v>100</v>
      </c>
      <c r="B101" s="1" t="s">
        <v>975</v>
      </c>
      <c r="C101" s="1"/>
      <c r="D101" s="1"/>
      <c r="E101" s="14">
        <f>IFERROR(VLOOKUP(D101,'[1]FinalGRAM-SAP (2)'!$A$4:$B$731,2,0),0)</f>
        <v>0</v>
      </c>
      <c r="F101" s="11">
        <v>10000</v>
      </c>
    </row>
    <row r="102" spans="1:6">
      <c r="A102" t="s">
        <v>101</v>
      </c>
      <c r="B102" s="1" t="s">
        <v>976</v>
      </c>
      <c r="C102" s="1"/>
      <c r="D102" s="1"/>
      <c r="E102" s="14">
        <f>IFERROR(VLOOKUP(D102,'[1]FinalGRAM-SAP (2)'!$A$4:$B$731,2,0),0)</f>
        <v>0</v>
      </c>
      <c r="F102" s="11">
        <v>10000</v>
      </c>
    </row>
    <row r="103" spans="1:6">
      <c r="A103" t="s">
        <v>102</v>
      </c>
      <c r="B103" s="1" t="s">
        <v>977</v>
      </c>
      <c r="C103" s="1"/>
      <c r="D103" s="1"/>
      <c r="E103" s="14">
        <f>IFERROR(VLOOKUP(D103,'[1]FinalGRAM-SAP (2)'!$A$4:$B$731,2,0),0)</f>
        <v>0</v>
      </c>
      <c r="F103" s="11">
        <v>10000</v>
      </c>
    </row>
    <row r="104" spans="1:6">
      <c r="A104" t="s">
        <v>103</v>
      </c>
      <c r="B104" s="1" t="s">
        <v>978</v>
      </c>
      <c r="C104" s="1"/>
      <c r="D104" s="1"/>
      <c r="E104" s="14">
        <f>IFERROR(VLOOKUP(D104,'[1]FinalGRAM-SAP (2)'!$A$4:$B$731,2,0),0)</f>
        <v>0</v>
      </c>
      <c r="F104" s="11">
        <v>10000</v>
      </c>
    </row>
    <row r="105" spans="1:6">
      <c r="A105" t="s">
        <v>104</v>
      </c>
      <c r="B105" s="1" t="s">
        <v>979</v>
      </c>
      <c r="C105" s="1"/>
      <c r="D105" s="1"/>
      <c r="E105" s="14">
        <f>IFERROR(VLOOKUP(D105,'[1]FinalGRAM-SAP (2)'!$A$4:$B$731,2,0),0)</f>
        <v>0</v>
      </c>
      <c r="F105" s="11">
        <v>10000</v>
      </c>
    </row>
    <row r="106" spans="1:6">
      <c r="A106" t="s">
        <v>105</v>
      </c>
      <c r="B106" s="1" t="s">
        <v>980</v>
      </c>
      <c r="C106" s="1"/>
      <c r="D106" s="1"/>
      <c r="E106" s="14">
        <f>IFERROR(VLOOKUP(D106,'[1]FinalGRAM-SAP (2)'!$A$4:$B$731,2,0),0)</f>
        <v>0</v>
      </c>
      <c r="F106" s="11">
        <v>10000</v>
      </c>
    </row>
    <row r="107" spans="1:6">
      <c r="A107" t="s">
        <v>106</v>
      </c>
      <c r="B107" s="1" t="s">
        <v>981</v>
      </c>
      <c r="C107" s="1"/>
      <c r="D107" s="1"/>
      <c r="E107" s="14">
        <f>IFERROR(VLOOKUP(D107,'[1]FinalGRAM-SAP (2)'!$A$4:$B$731,2,0),0)</f>
        <v>0</v>
      </c>
      <c r="F107" s="11">
        <v>10000</v>
      </c>
    </row>
    <row r="108" spans="1:6">
      <c r="A108" t="s">
        <v>107</v>
      </c>
      <c r="B108" s="1" t="s">
        <v>982</v>
      </c>
      <c r="C108" s="1"/>
      <c r="D108" s="1"/>
      <c r="E108" s="14">
        <f>IFERROR(VLOOKUP(D108,'[1]FinalGRAM-SAP (2)'!$A$4:$B$731,2,0),0)</f>
        <v>0</v>
      </c>
      <c r="F108" s="11">
        <v>10000</v>
      </c>
    </row>
    <row r="109" spans="1:6">
      <c r="A109" t="s">
        <v>108</v>
      </c>
      <c r="B109" s="1" t="s">
        <v>983</v>
      </c>
      <c r="C109" s="1"/>
      <c r="D109" s="1"/>
      <c r="E109" s="14">
        <f>IFERROR(VLOOKUP(D109,'[1]FinalGRAM-SAP (2)'!$A$4:$B$731,2,0),0)</f>
        <v>0</v>
      </c>
      <c r="F109" s="11">
        <v>10000</v>
      </c>
    </row>
    <row r="110" spans="1:6">
      <c r="A110" t="s">
        <v>109</v>
      </c>
      <c r="B110" s="1" t="s">
        <v>984</v>
      </c>
      <c r="C110" s="1"/>
      <c r="D110" s="1"/>
      <c r="E110" s="14">
        <f>IFERROR(VLOOKUP(D110,'[1]FinalGRAM-SAP (2)'!$A$4:$B$731,2,0),0)</f>
        <v>0</v>
      </c>
      <c r="F110" s="11">
        <v>10000</v>
      </c>
    </row>
    <row r="111" spans="1:6">
      <c r="A111" t="s">
        <v>110</v>
      </c>
      <c r="B111" s="1" t="s">
        <v>985</v>
      </c>
      <c r="C111" s="1"/>
      <c r="D111" s="1"/>
      <c r="E111" s="14">
        <f>IFERROR(VLOOKUP(D111,'[1]FinalGRAM-SAP (2)'!$A$4:$B$731,2,0),0)</f>
        <v>0</v>
      </c>
      <c r="F111" s="11">
        <v>10000</v>
      </c>
    </row>
    <row r="112" spans="1:6">
      <c r="A112" t="s">
        <v>111</v>
      </c>
      <c r="B112" s="1" t="s">
        <v>986</v>
      </c>
      <c r="C112" s="1"/>
      <c r="D112" s="1"/>
      <c r="E112" s="14">
        <f>IFERROR(VLOOKUP(D112,'[1]FinalGRAM-SAP (2)'!$A$4:$B$731,2,0),0)</f>
        <v>0</v>
      </c>
      <c r="F112" s="11">
        <v>10000</v>
      </c>
    </row>
    <row r="113" spans="1:6">
      <c r="A113" t="s">
        <v>112</v>
      </c>
      <c r="B113" s="1" t="s">
        <v>987</v>
      </c>
      <c r="C113" s="1"/>
      <c r="D113" s="1"/>
      <c r="E113" s="14">
        <f>IFERROR(VLOOKUP(D113,'[1]FinalGRAM-SAP (2)'!$A$4:$B$731,2,0),0)</f>
        <v>0</v>
      </c>
      <c r="F113" s="11">
        <v>10000</v>
      </c>
    </row>
    <row r="114" spans="1:6">
      <c r="A114" t="s">
        <v>113</v>
      </c>
      <c r="B114" s="1" t="s">
        <v>988</v>
      </c>
      <c r="C114" s="1"/>
      <c r="D114" s="1"/>
      <c r="E114" s="14">
        <f>IFERROR(VLOOKUP(D114,'[1]FinalGRAM-SAP (2)'!$A$4:$B$731,2,0),0)</f>
        <v>0</v>
      </c>
      <c r="F114" s="11">
        <v>10000</v>
      </c>
    </row>
    <row r="115" spans="1:6">
      <c r="A115" t="s">
        <v>114</v>
      </c>
      <c r="B115" s="1" t="s">
        <v>989</v>
      </c>
      <c r="C115" s="1"/>
      <c r="D115" s="1"/>
      <c r="E115" s="14">
        <f>IFERROR(VLOOKUP(D115,'[1]FinalGRAM-SAP (2)'!$A$4:$B$731,2,0),0)</f>
        <v>0</v>
      </c>
      <c r="F115" s="11">
        <v>10000</v>
      </c>
    </row>
    <row r="116" spans="1:6">
      <c r="A116" t="s">
        <v>115</v>
      </c>
      <c r="B116" s="1" t="s">
        <v>990</v>
      </c>
      <c r="C116" s="1"/>
      <c r="D116" s="1"/>
      <c r="E116" s="14">
        <f>IFERROR(VLOOKUP(D116,'[1]FinalGRAM-SAP (2)'!$A$4:$B$731,2,0),0)</f>
        <v>0</v>
      </c>
      <c r="F116" s="11">
        <v>10000</v>
      </c>
    </row>
    <row r="117" spans="1:6">
      <c r="A117" t="s">
        <v>116</v>
      </c>
      <c r="B117" s="1" t="s">
        <v>991</v>
      </c>
      <c r="C117" s="1"/>
      <c r="D117" s="1"/>
      <c r="E117" s="14">
        <f>IFERROR(VLOOKUP(D117,'[1]FinalGRAM-SAP (2)'!$A$4:$B$731,2,0),0)</f>
        <v>0</v>
      </c>
      <c r="F117" s="11">
        <v>10000</v>
      </c>
    </row>
    <row r="118" spans="1:6">
      <c r="A118" t="s">
        <v>117</v>
      </c>
      <c r="B118" s="1" t="s">
        <v>992</v>
      </c>
      <c r="C118" s="1"/>
      <c r="D118" s="1"/>
      <c r="E118" s="14">
        <f>IFERROR(VLOOKUP(D118,'[1]FinalGRAM-SAP (2)'!$A$4:$B$731,2,0),0)</f>
        <v>0</v>
      </c>
      <c r="F118" s="11">
        <v>10000</v>
      </c>
    </row>
    <row r="119" spans="1:6">
      <c r="A119" t="s">
        <v>118</v>
      </c>
      <c r="B119" s="1" t="s">
        <v>993</v>
      </c>
      <c r="C119" s="1"/>
      <c r="D119" s="1"/>
      <c r="E119" s="14">
        <f>IFERROR(VLOOKUP(D119,'[1]FinalGRAM-SAP (2)'!$A$4:$B$731,2,0),0)</f>
        <v>0</v>
      </c>
      <c r="F119" s="11">
        <v>10000</v>
      </c>
    </row>
    <row r="120" spans="1:6">
      <c r="A120" t="s">
        <v>119</v>
      </c>
      <c r="B120" s="1" t="s">
        <v>994</v>
      </c>
      <c r="C120" s="1"/>
      <c r="D120" s="1"/>
      <c r="E120" s="14">
        <f>IFERROR(VLOOKUP(D120,'[1]FinalGRAM-SAP (2)'!$A$4:$B$731,2,0),0)</f>
        <v>0</v>
      </c>
      <c r="F120" s="11">
        <v>10000</v>
      </c>
    </row>
    <row r="121" spans="1:6">
      <c r="A121" t="s">
        <v>120</v>
      </c>
      <c r="B121" s="1" t="s">
        <v>995</v>
      </c>
      <c r="C121" s="1"/>
      <c r="D121" s="1"/>
      <c r="E121" s="14">
        <f>IFERROR(VLOOKUP(D121,'[1]FinalGRAM-SAP (2)'!$A$4:$B$731,2,0),0)</f>
        <v>0</v>
      </c>
      <c r="F121" s="11">
        <v>10000</v>
      </c>
    </row>
    <row r="122" spans="1:6">
      <c r="A122" t="s">
        <v>121</v>
      </c>
      <c r="B122" s="1" t="s">
        <v>996</v>
      </c>
      <c r="C122" s="1"/>
      <c r="D122" s="1"/>
      <c r="E122" s="14">
        <f>IFERROR(VLOOKUP(D122,'[1]FinalGRAM-SAP (2)'!$A$4:$B$731,2,0),0)</f>
        <v>0</v>
      </c>
      <c r="F122" s="11">
        <v>10000</v>
      </c>
    </row>
    <row r="123" spans="1:6">
      <c r="A123" t="s">
        <v>122</v>
      </c>
      <c r="B123" s="1" t="s">
        <v>997</v>
      </c>
      <c r="C123" s="1"/>
      <c r="D123" s="1"/>
      <c r="E123" s="14">
        <f>IFERROR(VLOOKUP(D123,'[1]FinalGRAM-SAP (2)'!$A$4:$B$731,2,0),0)</f>
        <v>0</v>
      </c>
      <c r="F123" s="11">
        <v>10000</v>
      </c>
    </row>
    <row r="124" spans="1:6">
      <c r="A124" t="s">
        <v>123</v>
      </c>
      <c r="B124" s="1" t="s">
        <v>998</v>
      </c>
      <c r="C124" s="1"/>
      <c r="D124" s="1"/>
      <c r="E124" s="14">
        <f>IFERROR(VLOOKUP(D124,'[1]FinalGRAM-SAP (2)'!$A$4:$B$731,2,0),0)</f>
        <v>0</v>
      </c>
      <c r="F124" s="11">
        <v>10000</v>
      </c>
    </row>
    <row r="125" spans="1:6">
      <c r="A125" t="s">
        <v>124</v>
      </c>
      <c r="B125" s="1" t="s">
        <v>999</v>
      </c>
      <c r="C125" s="1"/>
      <c r="D125" s="1"/>
      <c r="E125" s="14">
        <f>IFERROR(VLOOKUP(D125,'[1]FinalGRAM-SAP (2)'!$A$4:$B$731,2,0),0)</f>
        <v>0</v>
      </c>
      <c r="F125" s="11">
        <v>10000</v>
      </c>
    </row>
    <row r="126" spans="1:6">
      <c r="A126" t="s">
        <v>125</v>
      </c>
      <c r="B126" s="1" t="s">
        <v>1000</v>
      </c>
      <c r="C126" s="1"/>
      <c r="D126" s="1"/>
      <c r="E126" s="14">
        <f>IFERROR(VLOOKUP(D126,'[1]FinalGRAM-SAP (2)'!$A$4:$B$731,2,0),0)</f>
        <v>0</v>
      </c>
      <c r="F126" s="11">
        <v>10000</v>
      </c>
    </row>
    <row r="127" spans="1:6">
      <c r="A127" t="s">
        <v>126</v>
      </c>
      <c r="B127" s="1" t="s">
        <v>1001</v>
      </c>
      <c r="C127" s="1"/>
      <c r="D127" s="1"/>
      <c r="E127" s="14">
        <f>IFERROR(VLOOKUP(D127,'[1]FinalGRAM-SAP (2)'!$A$4:$B$731,2,0),0)</f>
        <v>0</v>
      </c>
      <c r="F127" s="11">
        <v>10000</v>
      </c>
    </row>
    <row r="128" spans="1:6">
      <c r="A128" t="s">
        <v>127</v>
      </c>
      <c r="B128" s="1" t="s">
        <v>1002</v>
      </c>
      <c r="C128" s="1"/>
      <c r="D128" s="1"/>
      <c r="E128" s="14">
        <f>IFERROR(VLOOKUP(D128,'[1]FinalGRAM-SAP (2)'!$A$4:$B$731,2,0),0)</f>
        <v>0</v>
      </c>
      <c r="F128" s="11">
        <v>10000</v>
      </c>
    </row>
    <row r="129" spans="1:6">
      <c r="A129" t="s">
        <v>128</v>
      </c>
      <c r="B129" s="1" t="s">
        <v>1003</v>
      </c>
      <c r="C129" s="1"/>
      <c r="D129" s="1"/>
      <c r="E129" s="14">
        <f>IFERROR(VLOOKUP(D129,'[1]FinalGRAM-SAP (2)'!$A$4:$B$731,2,0),0)</f>
        <v>0</v>
      </c>
      <c r="F129" s="11">
        <v>10000</v>
      </c>
    </row>
    <row r="130" spans="1:6">
      <c r="A130" t="s">
        <v>129</v>
      </c>
      <c r="B130" s="1" t="s">
        <v>1004</v>
      </c>
      <c r="C130" s="1"/>
      <c r="D130" s="1"/>
      <c r="E130" s="14">
        <f>IFERROR(VLOOKUP(D130,'[1]FinalGRAM-SAP (2)'!$A$4:$B$731,2,0),0)</f>
        <v>0</v>
      </c>
      <c r="F130" s="11">
        <v>10000</v>
      </c>
    </row>
    <row r="131" spans="1:6">
      <c r="A131" t="s">
        <v>130</v>
      </c>
      <c r="B131" s="1" t="s">
        <v>1005</v>
      </c>
      <c r="C131" s="1"/>
      <c r="D131" s="1"/>
      <c r="E131" s="14">
        <f>IFERROR(VLOOKUP(D131,'[1]FinalGRAM-SAP (2)'!$A$4:$B$731,2,0),0)</f>
        <v>0</v>
      </c>
      <c r="F131" s="11">
        <v>10000</v>
      </c>
    </row>
    <row r="132" spans="1:6">
      <c r="A132" t="s">
        <v>131</v>
      </c>
      <c r="B132" s="1" t="s">
        <v>1006</v>
      </c>
      <c r="C132" s="1"/>
      <c r="D132" s="1"/>
      <c r="E132" s="14">
        <f>IFERROR(VLOOKUP(D132,'[1]FinalGRAM-SAP (2)'!$A$4:$B$731,2,0),0)</f>
        <v>0</v>
      </c>
      <c r="F132" s="11">
        <v>10000</v>
      </c>
    </row>
    <row r="133" spans="1:6">
      <c r="A133" t="s">
        <v>132</v>
      </c>
      <c r="B133" s="1" t="s">
        <v>1007</v>
      </c>
      <c r="C133" s="1"/>
      <c r="D133" s="1"/>
      <c r="E133" s="14">
        <f>IFERROR(VLOOKUP(D133,'[1]FinalGRAM-SAP (2)'!$A$4:$B$731,2,0),0)</f>
        <v>0</v>
      </c>
      <c r="F133" s="11">
        <v>10000</v>
      </c>
    </row>
    <row r="134" spans="1:6">
      <c r="A134" t="s">
        <v>133</v>
      </c>
      <c r="B134" s="1" t="s">
        <v>1008</v>
      </c>
      <c r="C134" s="1"/>
      <c r="D134" s="1"/>
      <c r="E134" s="14">
        <f>IFERROR(VLOOKUP(D134,'[1]FinalGRAM-SAP (2)'!$A$4:$B$731,2,0),0)</f>
        <v>0</v>
      </c>
      <c r="F134" s="11">
        <v>10000</v>
      </c>
    </row>
    <row r="135" spans="1:6">
      <c r="A135" t="s">
        <v>134</v>
      </c>
      <c r="B135" s="1" t="s">
        <v>1009</v>
      </c>
      <c r="C135" s="1"/>
      <c r="D135" s="1"/>
      <c r="E135" s="14">
        <f>IFERROR(VLOOKUP(D135,'[1]FinalGRAM-SAP (2)'!$A$4:$B$731,2,0),0)</f>
        <v>0</v>
      </c>
      <c r="F135" s="11">
        <v>10000</v>
      </c>
    </row>
    <row r="136" spans="1:6">
      <c r="A136" t="s">
        <v>135</v>
      </c>
      <c r="B136" s="1" t="s">
        <v>1010</v>
      </c>
      <c r="C136" s="1"/>
      <c r="D136" s="1"/>
      <c r="E136" s="14">
        <f>IFERROR(VLOOKUP(D136,'[1]FinalGRAM-SAP (2)'!$A$4:$B$731,2,0),0)</f>
        <v>0</v>
      </c>
      <c r="F136" s="11">
        <v>10000</v>
      </c>
    </row>
    <row r="137" spans="1:6">
      <c r="A137" t="s">
        <v>136</v>
      </c>
      <c r="B137" s="1" t="s">
        <v>1011</v>
      </c>
      <c r="C137" s="1"/>
      <c r="D137" s="1"/>
      <c r="E137" s="14">
        <f>IFERROR(VLOOKUP(D137,'[1]FinalGRAM-SAP (2)'!$A$4:$B$731,2,0),0)</f>
        <v>0</v>
      </c>
      <c r="F137" s="11">
        <v>10000</v>
      </c>
    </row>
    <row r="138" spans="1:6">
      <c r="A138" t="s">
        <v>137</v>
      </c>
      <c r="B138" s="1" t="s">
        <v>1012</v>
      </c>
      <c r="C138" s="1"/>
      <c r="D138" s="1"/>
      <c r="E138" s="14">
        <f>IFERROR(VLOOKUP(D138,'[1]FinalGRAM-SAP (2)'!$A$4:$B$731,2,0),0)</f>
        <v>0</v>
      </c>
      <c r="F138" s="11">
        <v>10000</v>
      </c>
    </row>
    <row r="139" spans="1:6">
      <c r="A139" t="s">
        <v>138</v>
      </c>
      <c r="B139" s="1" t="s">
        <v>1013</v>
      </c>
      <c r="C139" s="1"/>
      <c r="D139" s="1"/>
      <c r="E139" s="14">
        <f>IFERROR(VLOOKUP(D139,'[1]FinalGRAM-SAP (2)'!$A$4:$B$731,2,0),0)</f>
        <v>0</v>
      </c>
      <c r="F139" s="11">
        <v>10000</v>
      </c>
    </row>
    <row r="140" spans="1:6">
      <c r="A140" t="s">
        <v>139</v>
      </c>
      <c r="B140" s="1" t="s">
        <v>1014</v>
      </c>
      <c r="C140" s="1"/>
      <c r="D140" s="1"/>
      <c r="E140" s="14">
        <f>IFERROR(VLOOKUP(D140,'[1]FinalGRAM-SAP (2)'!$A$4:$B$731,2,0),0)</f>
        <v>0</v>
      </c>
      <c r="F140" s="11">
        <v>10000</v>
      </c>
    </row>
    <row r="141" spans="1:6">
      <c r="A141" t="s">
        <v>140</v>
      </c>
      <c r="B141" s="1" t="s">
        <v>1015</v>
      </c>
      <c r="C141" s="1"/>
      <c r="D141" s="1"/>
      <c r="E141" s="14">
        <f>IFERROR(VLOOKUP(D141,'[1]FinalGRAM-SAP (2)'!$A$4:$B$731,2,0),0)</f>
        <v>0</v>
      </c>
      <c r="F141" s="11">
        <v>10000</v>
      </c>
    </row>
    <row r="142" spans="1:6">
      <c r="A142" t="s">
        <v>141</v>
      </c>
      <c r="B142" s="1" t="s">
        <v>1016</v>
      </c>
      <c r="C142" s="1"/>
      <c r="D142" s="1"/>
      <c r="E142" s="14">
        <f>IFERROR(VLOOKUP(D142,'[1]FinalGRAM-SAP (2)'!$A$4:$B$731,2,0),0)</f>
        <v>0</v>
      </c>
      <c r="F142" s="11">
        <v>10000</v>
      </c>
    </row>
    <row r="143" spans="1:6">
      <c r="A143" t="s">
        <v>142</v>
      </c>
      <c r="B143" s="1" t="s">
        <v>1017</v>
      </c>
      <c r="C143" s="1"/>
      <c r="D143" s="1"/>
      <c r="E143" s="14">
        <f>IFERROR(VLOOKUP(D143,'[1]FinalGRAM-SAP (2)'!$A$4:$B$731,2,0),0)</f>
        <v>0</v>
      </c>
      <c r="F143" s="11">
        <v>10000</v>
      </c>
    </row>
    <row r="144" spans="1:6">
      <c r="A144" t="s">
        <v>143</v>
      </c>
      <c r="B144" s="1" t="s">
        <v>1018</v>
      </c>
      <c r="C144" s="1"/>
      <c r="D144" s="1"/>
      <c r="E144" s="14">
        <f>IFERROR(VLOOKUP(D144,'[1]FinalGRAM-SAP (2)'!$A$4:$B$731,2,0),0)</f>
        <v>0</v>
      </c>
      <c r="F144" s="11">
        <v>10000</v>
      </c>
    </row>
    <row r="145" spans="1:6">
      <c r="A145" t="s">
        <v>144</v>
      </c>
      <c r="B145" s="1" t="s">
        <v>1019</v>
      </c>
      <c r="C145" s="1"/>
      <c r="D145" s="1"/>
      <c r="E145" s="14">
        <f>IFERROR(VLOOKUP(D145,'[1]FinalGRAM-SAP (2)'!$A$4:$B$731,2,0),0)</f>
        <v>0</v>
      </c>
      <c r="F145" s="11">
        <v>10000</v>
      </c>
    </row>
    <row r="146" spans="1:6">
      <c r="A146" t="s">
        <v>145</v>
      </c>
      <c r="B146" s="1" t="s">
        <v>1020</v>
      </c>
      <c r="C146" s="1"/>
      <c r="D146" s="1"/>
      <c r="E146" s="14">
        <f>IFERROR(VLOOKUP(D146,'[1]FinalGRAM-SAP (2)'!$A$4:$B$731,2,0),0)</f>
        <v>0</v>
      </c>
      <c r="F146" s="11">
        <v>10000</v>
      </c>
    </row>
    <row r="147" spans="1:6">
      <c r="A147" t="s">
        <v>146</v>
      </c>
      <c r="B147" s="1" t="s">
        <v>1021</v>
      </c>
      <c r="C147" s="1"/>
      <c r="D147" s="1"/>
      <c r="E147" s="14">
        <f>IFERROR(VLOOKUP(D147,'[1]FinalGRAM-SAP (2)'!$A$4:$B$731,2,0),0)</f>
        <v>0</v>
      </c>
      <c r="F147" s="11">
        <v>10000</v>
      </c>
    </row>
    <row r="148" spans="1:6">
      <c r="A148" t="s">
        <v>147</v>
      </c>
      <c r="B148" s="1" t="s">
        <v>1022</v>
      </c>
      <c r="C148" s="1"/>
      <c r="D148" s="1"/>
      <c r="E148" s="14">
        <f>IFERROR(VLOOKUP(D148,'[1]FinalGRAM-SAP (2)'!$A$4:$B$731,2,0),0)</f>
        <v>0</v>
      </c>
      <c r="F148" s="11">
        <v>10000</v>
      </c>
    </row>
    <row r="149" spans="1:6">
      <c r="A149" t="s">
        <v>148</v>
      </c>
      <c r="B149" s="1" t="s">
        <v>1023</v>
      </c>
      <c r="C149" s="1"/>
      <c r="D149" s="1"/>
      <c r="E149" s="14">
        <f>IFERROR(VLOOKUP(D149,'[1]FinalGRAM-SAP (2)'!$A$4:$B$731,2,0),0)</f>
        <v>0</v>
      </c>
      <c r="F149" s="11">
        <v>10000</v>
      </c>
    </row>
    <row r="150" spans="1:6">
      <c r="A150" t="s">
        <v>149</v>
      </c>
      <c r="B150" s="1" t="s">
        <v>1024</v>
      </c>
      <c r="C150" s="1"/>
      <c r="D150" s="1"/>
      <c r="E150" s="14">
        <f>IFERROR(VLOOKUP(D150,'[1]FinalGRAM-SAP (2)'!$A$4:$B$731,2,0),0)</f>
        <v>0</v>
      </c>
      <c r="F150" s="11">
        <v>10000</v>
      </c>
    </row>
    <row r="151" spans="1:6">
      <c r="A151" t="s">
        <v>150</v>
      </c>
      <c r="B151" s="1" t="s">
        <v>1025</v>
      </c>
      <c r="C151" s="1"/>
      <c r="D151" s="1"/>
      <c r="E151" s="14">
        <f>IFERROR(VLOOKUP(D151,'[1]FinalGRAM-SAP (2)'!$A$4:$B$731,2,0),0)</f>
        <v>0</v>
      </c>
      <c r="F151" s="11">
        <v>10000</v>
      </c>
    </row>
    <row r="152" spans="1:6">
      <c r="A152" t="s">
        <v>151</v>
      </c>
      <c r="B152" s="1" t="s">
        <v>1026</v>
      </c>
      <c r="C152" s="1"/>
      <c r="D152" s="1"/>
      <c r="E152" s="14">
        <f>IFERROR(VLOOKUP(D152,'[1]FinalGRAM-SAP (2)'!$A$4:$B$731,2,0),0)</f>
        <v>0</v>
      </c>
      <c r="F152" s="11">
        <v>10000</v>
      </c>
    </row>
    <row r="153" spans="1:6">
      <c r="A153" t="s">
        <v>152</v>
      </c>
      <c r="B153" s="1" t="s">
        <v>1027</v>
      </c>
      <c r="C153" s="1"/>
      <c r="D153" s="1"/>
      <c r="E153" s="14">
        <f>IFERROR(VLOOKUP(D153,'[1]FinalGRAM-SAP (2)'!$A$4:$B$731,2,0),0)</f>
        <v>0</v>
      </c>
      <c r="F153" s="11">
        <v>10000</v>
      </c>
    </row>
    <row r="154" spans="1:6">
      <c r="A154" t="s">
        <v>153</v>
      </c>
      <c r="B154" s="1" t="s">
        <v>1028</v>
      </c>
      <c r="C154" s="1"/>
      <c r="D154" s="1"/>
      <c r="E154" s="14">
        <f>IFERROR(VLOOKUP(D154,'[1]FinalGRAM-SAP (2)'!$A$4:$B$731,2,0),0)</f>
        <v>0</v>
      </c>
      <c r="F154" s="11">
        <v>10000</v>
      </c>
    </row>
    <row r="155" spans="1:6">
      <c r="A155" t="s">
        <v>154</v>
      </c>
      <c r="B155" s="1" t="s">
        <v>1029</v>
      </c>
      <c r="C155" s="1"/>
      <c r="D155" s="1"/>
      <c r="E155" s="14">
        <f>IFERROR(VLOOKUP(D155,'[1]FinalGRAM-SAP (2)'!$A$4:$B$731,2,0),0)</f>
        <v>0</v>
      </c>
      <c r="F155" s="11">
        <v>10000</v>
      </c>
    </row>
    <row r="156" spans="1:6">
      <c r="A156" t="s">
        <v>155</v>
      </c>
      <c r="B156" s="1" t="s">
        <v>1030</v>
      </c>
      <c r="C156" s="1"/>
      <c r="D156" s="1"/>
      <c r="E156" s="14">
        <f>IFERROR(VLOOKUP(D156,'[1]FinalGRAM-SAP (2)'!$A$4:$B$731,2,0),0)</f>
        <v>0</v>
      </c>
      <c r="F156" s="11">
        <v>10000</v>
      </c>
    </row>
    <row r="157" spans="1:6">
      <c r="A157" t="s">
        <v>156</v>
      </c>
      <c r="B157" s="1" t="s">
        <v>1031</v>
      </c>
      <c r="C157" s="1"/>
      <c r="D157" s="1"/>
      <c r="E157" s="14">
        <f>IFERROR(VLOOKUP(D157,'[1]FinalGRAM-SAP (2)'!$A$4:$B$731,2,0),0)</f>
        <v>0</v>
      </c>
      <c r="F157" s="11">
        <v>10000</v>
      </c>
    </row>
    <row r="158" spans="1:6">
      <c r="A158" t="s">
        <v>157</v>
      </c>
      <c r="B158" s="1" t="s">
        <v>1032</v>
      </c>
      <c r="C158" s="1"/>
      <c r="D158" s="1"/>
      <c r="E158" s="14">
        <f>IFERROR(VLOOKUP(D158,'[1]FinalGRAM-SAP (2)'!$A$4:$B$731,2,0),0)</f>
        <v>0</v>
      </c>
      <c r="F158" s="11">
        <v>10000</v>
      </c>
    </row>
    <row r="159" spans="1:6">
      <c r="A159" t="s">
        <v>158</v>
      </c>
      <c r="B159" s="1" t="s">
        <v>1033</v>
      </c>
      <c r="C159" s="1"/>
      <c r="D159" s="1"/>
      <c r="E159" s="14">
        <f>IFERROR(VLOOKUP(D159,'[1]FinalGRAM-SAP (2)'!$A$4:$B$731,2,0),0)</f>
        <v>0</v>
      </c>
      <c r="F159" s="11">
        <v>10000</v>
      </c>
    </row>
    <row r="160" spans="1:6">
      <c r="A160" t="s">
        <v>159</v>
      </c>
      <c r="B160" s="1" t="s">
        <v>1034</v>
      </c>
      <c r="C160" s="1"/>
      <c r="D160" s="1"/>
      <c r="E160" s="14">
        <f>IFERROR(VLOOKUP(D160,'[1]FinalGRAM-SAP (2)'!$A$4:$B$731,2,0),0)</f>
        <v>0</v>
      </c>
      <c r="F160" s="11">
        <v>10000</v>
      </c>
    </row>
    <row r="161" spans="1:6">
      <c r="A161" t="s">
        <v>160</v>
      </c>
      <c r="B161" s="1" t="s">
        <v>1035</v>
      </c>
      <c r="C161" s="1"/>
      <c r="D161" s="1"/>
      <c r="E161" s="14">
        <f>IFERROR(VLOOKUP(D161,'[1]FinalGRAM-SAP (2)'!$A$4:$B$731,2,0),0)</f>
        <v>0</v>
      </c>
      <c r="F161" s="11">
        <v>10000</v>
      </c>
    </row>
    <row r="162" spans="1:6">
      <c r="A162" t="s">
        <v>161</v>
      </c>
      <c r="B162" s="1" t="s">
        <v>1036</v>
      </c>
      <c r="C162" s="1"/>
      <c r="D162" s="1"/>
      <c r="E162" s="14">
        <f>IFERROR(VLOOKUP(D162,'[1]FinalGRAM-SAP (2)'!$A$4:$B$731,2,0),0)</f>
        <v>0</v>
      </c>
      <c r="F162" s="11">
        <v>10000</v>
      </c>
    </row>
    <row r="163" spans="1:6">
      <c r="A163" t="s">
        <v>162</v>
      </c>
      <c r="B163" s="1" t="s">
        <v>1037</v>
      </c>
      <c r="C163" s="1"/>
      <c r="D163" s="1"/>
      <c r="E163" s="14">
        <f>IFERROR(VLOOKUP(D163,'[1]FinalGRAM-SAP (2)'!$A$4:$B$731,2,0),0)</f>
        <v>0</v>
      </c>
      <c r="F163" s="11">
        <v>10000</v>
      </c>
    </row>
    <row r="164" spans="1:6">
      <c r="A164" t="s">
        <v>163</v>
      </c>
      <c r="B164" s="1" t="s">
        <v>1038</v>
      </c>
      <c r="C164" s="1"/>
      <c r="D164" s="1"/>
      <c r="E164" s="14">
        <f>IFERROR(VLOOKUP(D164,'[1]FinalGRAM-SAP (2)'!$A$4:$B$731,2,0),0)</f>
        <v>0</v>
      </c>
      <c r="F164" s="11">
        <v>10000</v>
      </c>
    </row>
    <row r="165" spans="1:6">
      <c r="A165" t="s">
        <v>164</v>
      </c>
      <c r="B165" s="1" t="s">
        <v>1039</v>
      </c>
      <c r="C165" s="1"/>
      <c r="D165" s="1"/>
      <c r="E165" s="14">
        <f>IFERROR(VLOOKUP(D165,'[1]FinalGRAM-SAP (2)'!$A$4:$B$731,2,0),0)</f>
        <v>0</v>
      </c>
      <c r="F165" s="11">
        <v>10000</v>
      </c>
    </row>
    <row r="166" spans="1:6">
      <c r="A166" t="s">
        <v>165</v>
      </c>
      <c r="B166" s="1" t="s">
        <v>1040</v>
      </c>
      <c r="C166" s="1"/>
      <c r="D166" s="1"/>
      <c r="E166" s="14">
        <f>IFERROR(VLOOKUP(D166,'[1]FinalGRAM-SAP (2)'!$A$4:$B$731,2,0),0)</f>
        <v>0</v>
      </c>
      <c r="F166" s="11">
        <v>10000</v>
      </c>
    </row>
    <row r="167" spans="1:6">
      <c r="A167" t="s">
        <v>166</v>
      </c>
      <c r="B167" s="1" t="s">
        <v>1041</v>
      </c>
      <c r="C167" s="1"/>
      <c r="D167" s="1"/>
      <c r="E167" s="14">
        <f>IFERROR(VLOOKUP(D167,'[1]FinalGRAM-SAP (2)'!$A$4:$B$731,2,0),0)</f>
        <v>0</v>
      </c>
      <c r="F167" s="11">
        <v>10000</v>
      </c>
    </row>
    <row r="168" spans="1:6">
      <c r="A168" t="s">
        <v>167</v>
      </c>
      <c r="B168" s="1" t="s">
        <v>1042</v>
      </c>
      <c r="C168" s="1"/>
      <c r="D168" s="1"/>
      <c r="E168" s="14">
        <f>IFERROR(VLOOKUP(D168,'[1]FinalGRAM-SAP (2)'!$A$4:$B$731,2,0),0)</f>
        <v>0</v>
      </c>
      <c r="F168" s="11">
        <v>10000</v>
      </c>
    </row>
    <row r="169" spans="1:6">
      <c r="A169" t="s">
        <v>168</v>
      </c>
      <c r="B169" s="1" t="s">
        <v>1043</v>
      </c>
      <c r="C169" s="1"/>
      <c r="D169" s="1"/>
      <c r="E169" s="14">
        <f>IFERROR(VLOOKUP(D169,'[1]FinalGRAM-SAP (2)'!$A$4:$B$731,2,0),0)</f>
        <v>0</v>
      </c>
      <c r="F169" s="11">
        <v>10000</v>
      </c>
    </row>
    <row r="170" spans="1:6">
      <c r="A170" t="s">
        <v>169</v>
      </c>
      <c r="B170" s="1" t="s">
        <v>1044</v>
      </c>
      <c r="C170" s="1"/>
      <c r="D170" s="1"/>
      <c r="E170" s="14">
        <f>IFERROR(VLOOKUP(D170,'[1]FinalGRAM-SAP (2)'!$A$4:$B$731,2,0),0)</f>
        <v>0</v>
      </c>
      <c r="F170" s="11">
        <v>10000</v>
      </c>
    </row>
    <row r="171" spans="1:6">
      <c r="A171" t="s">
        <v>170</v>
      </c>
      <c r="B171" s="1" t="s">
        <v>1045</v>
      </c>
      <c r="C171" s="1"/>
      <c r="D171" s="1"/>
      <c r="E171" s="14">
        <f>IFERROR(VLOOKUP(D171,'[1]FinalGRAM-SAP (2)'!$A$4:$B$731,2,0),0)</f>
        <v>0</v>
      </c>
      <c r="F171" s="11">
        <v>10000</v>
      </c>
    </row>
    <row r="172" spans="1:6">
      <c r="A172" t="s">
        <v>171</v>
      </c>
      <c r="B172" s="1" t="s">
        <v>1046</v>
      </c>
      <c r="C172" s="1"/>
      <c r="D172" s="1"/>
      <c r="E172" s="14">
        <f>IFERROR(VLOOKUP(D172,'[1]FinalGRAM-SAP (2)'!$A$4:$B$731,2,0),0)</f>
        <v>0</v>
      </c>
      <c r="F172" s="11">
        <v>10000</v>
      </c>
    </row>
    <row r="173" spans="1:6">
      <c r="A173" t="s">
        <v>172</v>
      </c>
      <c r="B173" s="1" t="s">
        <v>1047</v>
      </c>
      <c r="C173" s="1"/>
      <c r="D173" s="1"/>
      <c r="E173" s="14">
        <f>IFERROR(VLOOKUP(D173,'[1]FinalGRAM-SAP (2)'!$A$4:$B$731,2,0),0)</f>
        <v>0</v>
      </c>
      <c r="F173" s="11">
        <v>10000</v>
      </c>
    </row>
    <row r="174" spans="1:6">
      <c r="A174" t="s">
        <v>173</v>
      </c>
      <c r="B174" s="1" t="s">
        <v>1048</v>
      </c>
      <c r="C174" s="1"/>
      <c r="D174" s="1"/>
      <c r="E174" s="14">
        <f>IFERROR(VLOOKUP(D174,'[1]FinalGRAM-SAP (2)'!$A$4:$B$731,2,0),0)</f>
        <v>0</v>
      </c>
      <c r="F174" s="11">
        <v>10000</v>
      </c>
    </row>
    <row r="175" spans="1:6">
      <c r="A175" t="s">
        <v>174</v>
      </c>
      <c r="B175" s="1" t="s">
        <v>1049</v>
      </c>
      <c r="C175" s="1"/>
      <c r="D175" s="1"/>
      <c r="E175" s="14">
        <f>IFERROR(VLOOKUP(D175,'[1]FinalGRAM-SAP (2)'!$A$4:$B$731,2,0),0)</f>
        <v>0</v>
      </c>
      <c r="F175" s="11">
        <v>10000</v>
      </c>
    </row>
    <row r="176" spans="1:6">
      <c r="A176" t="s">
        <v>175</v>
      </c>
      <c r="B176" s="1" t="s">
        <v>1050</v>
      </c>
      <c r="C176" s="1"/>
      <c r="D176" s="1"/>
      <c r="E176" s="14">
        <f>IFERROR(VLOOKUP(D176,'[1]FinalGRAM-SAP (2)'!$A$4:$B$731,2,0),0)</f>
        <v>0</v>
      </c>
      <c r="F176" s="11">
        <v>10000</v>
      </c>
    </row>
    <row r="177" spans="1:6">
      <c r="A177" t="s">
        <v>176</v>
      </c>
      <c r="B177" s="1" t="s">
        <v>1051</v>
      </c>
      <c r="C177" s="1"/>
      <c r="D177" s="1"/>
      <c r="E177" s="14">
        <f>IFERROR(VLOOKUP(D177,'[1]FinalGRAM-SAP (2)'!$A$4:$B$731,2,0),0)</f>
        <v>0</v>
      </c>
      <c r="F177" s="11">
        <v>10000</v>
      </c>
    </row>
    <row r="178" spans="1:6">
      <c r="A178" t="s">
        <v>177</v>
      </c>
      <c r="B178" s="1" t="s">
        <v>1052</v>
      </c>
      <c r="C178" s="1"/>
      <c r="D178" s="1"/>
      <c r="E178" s="14">
        <f>IFERROR(VLOOKUP(D178,'[1]FinalGRAM-SAP (2)'!$A$4:$B$731,2,0),0)</f>
        <v>0</v>
      </c>
      <c r="F178" s="11">
        <v>10000</v>
      </c>
    </row>
    <row r="179" spans="1:6">
      <c r="A179" t="s">
        <v>178</v>
      </c>
      <c r="B179" s="1" t="s">
        <v>1053</v>
      </c>
      <c r="C179" s="1"/>
      <c r="D179" s="1"/>
      <c r="E179" s="14">
        <f>IFERROR(VLOOKUP(D179,'[1]FinalGRAM-SAP (2)'!$A$4:$B$731,2,0),0)</f>
        <v>0</v>
      </c>
      <c r="F179" s="11">
        <v>10000</v>
      </c>
    </row>
    <row r="180" spans="1:6">
      <c r="A180" t="s">
        <v>179</v>
      </c>
      <c r="B180" s="1" t="s">
        <v>1054</v>
      </c>
      <c r="C180" s="1"/>
      <c r="D180" s="1"/>
      <c r="E180" s="14">
        <f>IFERROR(VLOOKUP(D180,'[1]FinalGRAM-SAP (2)'!$A$4:$B$731,2,0),0)</f>
        <v>0</v>
      </c>
      <c r="F180" s="11">
        <v>10000</v>
      </c>
    </row>
    <row r="181" spans="1:6">
      <c r="A181" t="s">
        <v>180</v>
      </c>
      <c r="B181" s="1" t="s">
        <v>1055</v>
      </c>
      <c r="C181" s="1"/>
      <c r="D181" s="1"/>
      <c r="E181" s="14">
        <f>IFERROR(VLOOKUP(D181,'[1]FinalGRAM-SAP (2)'!$A$4:$B$731,2,0),0)</f>
        <v>0</v>
      </c>
      <c r="F181" s="11">
        <v>10000</v>
      </c>
    </row>
    <row r="182" spans="1:6">
      <c r="A182" t="s">
        <v>181</v>
      </c>
      <c r="B182" s="1" t="s">
        <v>1056</v>
      </c>
      <c r="C182" s="1"/>
      <c r="D182" s="1"/>
      <c r="E182" s="14">
        <f>IFERROR(VLOOKUP(D182,'[1]FinalGRAM-SAP (2)'!$A$4:$B$731,2,0),0)</f>
        <v>0</v>
      </c>
      <c r="F182" s="11">
        <v>10000</v>
      </c>
    </row>
    <row r="183" spans="1:6">
      <c r="A183" t="s">
        <v>182</v>
      </c>
      <c r="B183" s="1" t="s">
        <v>1057</v>
      </c>
      <c r="C183" s="1"/>
      <c r="D183" s="1"/>
      <c r="E183" s="14">
        <f>IFERROR(VLOOKUP(D183,'[1]FinalGRAM-SAP (2)'!$A$4:$B$731,2,0),0)</f>
        <v>0</v>
      </c>
      <c r="F183" s="11">
        <v>10000</v>
      </c>
    </row>
    <row r="184" spans="1:6">
      <c r="A184" t="s">
        <v>183</v>
      </c>
      <c r="B184" s="1" t="s">
        <v>1058</v>
      </c>
      <c r="C184" s="1"/>
      <c r="D184" s="1"/>
      <c r="E184" s="14">
        <f>IFERROR(VLOOKUP(D184,'[1]FinalGRAM-SAP (2)'!$A$4:$B$731,2,0),0)</f>
        <v>0</v>
      </c>
      <c r="F184" s="11">
        <v>10000</v>
      </c>
    </row>
    <row r="185" spans="1:6">
      <c r="A185" t="s">
        <v>184</v>
      </c>
      <c r="B185" s="1" t="s">
        <v>1059</v>
      </c>
      <c r="C185" s="1"/>
      <c r="D185" s="1"/>
      <c r="E185" s="14">
        <f>IFERROR(VLOOKUP(D185,'[1]FinalGRAM-SAP (2)'!$A$4:$B$731,2,0),0)</f>
        <v>0</v>
      </c>
      <c r="F185" s="11">
        <v>10000</v>
      </c>
    </row>
    <row r="186" spans="1:6">
      <c r="A186" t="s">
        <v>185</v>
      </c>
      <c r="B186" s="1" t="s">
        <v>1060</v>
      </c>
      <c r="C186" s="1"/>
      <c r="D186" s="1"/>
      <c r="E186" s="14">
        <f>IFERROR(VLOOKUP(D186,'[1]FinalGRAM-SAP (2)'!$A$4:$B$731,2,0),0)</f>
        <v>0</v>
      </c>
      <c r="F186" s="11">
        <v>10000</v>
      </c>
    </row>
    <row r="187" spans="1:6">
      <c r="A187" t="s">
        <v>186</v>
      </c>
      <c r="B187" s="1" t="s">
        <v>1061</v>
      </c>
      <c r="C187" s="1"/>
      <c r="D187" s="1"/>
      <c r="E187" s="14">
        <f>IFERROR(VLOOKUP(D187,'[1]FinalGRAM-SAP (2)'!$A$4:$B$731,2,0),0)</f>
        <v>0</v>
      </c>
      <c r="F187" s="11">
        <v>10000</v>
      </c>
    </row>
    <row r="188" spans="1:6">
      <c r="A188" t="s">
        <v>187</v>
      </c>
      <c r="B188" s="1" t="s">
        <v>1062</v>
      </c>
      <c r="C188" s="1"/>
      <c r="D188" s="1"/>
      <c r="E188" s="14">
        <f>IFERROR(VLOOKUP(D188,'[1]FinalGRAM-SAP (2)'!$A$4:$B$731,2,0),0)</f>
        <v>0</v>
      </c>
      <c r="F188" s="11">
        <v>10000</v>
      </c>
    </row>
    <row r="189" spans="1:6">
      <c r="A189" t="s">
        <v>188</v>
      </c>
      <c r="B189" s="1" t="s">
        <v>1063</v>
      </c>
      <c r="C189" s="1"/>
      <c r="D189" s="1"/>
      <c r="E189" s="14">
        <f>IFERROR(VLOOKUP(D189,'[1]FinalGRAM-SAP (2)'!$A$4:$B$731,2,0),0)</f>
        <v>0</v>
      </c>
      <c r="F189" s="11">
        <v>10000</v>
      </c>
    </row>
    <row r="190" spans="1:6">
      <c r="A190" t="s">
        <v>189</v>
      </c>
      <c r="B190" s="1" t="s">
        <v>1064</v>
      </c>
      <c r="C190" s="1"/>
      <c r="D190" s="1"/>
      <c r="E190" s="14">
        <f>IFERROR(VLOOKUP(D190,'[1]FinalGRAM-SAP (2)'!$A$4:$B$731,2,0),0)</f>
        <v>0</v>
      </c>
      <c r="F190" s="11">
        <v>10000</v>
      </c>
    </row>
    <row r="191" spans="1:6">
      <c r="A191" t="s">
        <v>190</v>
      </c>
      <c r="B191" s="1" t="s">
        <v>1065</v>
      </c>
      <c r="C191" s="1"/>
      <c r="D191" s="1"/>
      <c r="E191" s="14">
        <f>IFERROR(VLOOKUP(D191,'[1]FinalGRAM-SAP (2)'!$A$4:$B$731,2,0),0)</f>
        <v>0</v>
      </c>
      <c r="F191" s="11">
        <v>10000</v>
      </c>
    </row>
    <row r="192" spans="1:6">
      <c r="A192" t="s">
        <v>191</v>
      </c>
      <c r="B192" s="1" t="s">
        <v>1066</v>
      </c>
      <c r="C192" s="1"/>
      <c r="D192" s="1"/>
      <c r="E192" s="14">
        <f>IFERROR(VLOOKUP(D192,'[1]FinalGRAM-SAP (2)'!$A$4:$B$731,2,0),0)</f>
        <v>0</v>
      </c>
      <c r="F192" s="11">
        <v>10000</v>
      </c>
    </row>
    <row r="193" spans="1:6">
      <c r="A193" t="s">
        <v>192</v>
      </c>
      <c r="B193" s="1" t="s">
        <v>1067</v>
      </c>
      <c r="C193" s="1"/>
      <c r="D193" s="1"/>
      <c r="E193" s="14">
        <f>IFERROR(VLOOKUP(D193,'[1]FinalGRAM-SAP (2)'!$A$4:$B$731,2,0),0)</f>
        <v>0</v>
      </c>
      <c r="F193" s="11">
        <v>10000</v>
      </c>
    </row>
    <row r="194" spans="1:6">
      <c r="A194" t="s">
        <v>193</v>
      </c>
      <c r="B194" s="1" t="s">
        <v>1068</v>
      </c>
      <c r="C194" s="1"/>
      <c r="D194" s="1"/>
      <c r="E194" s="14">
        <f>IFERROR(VLOOKUP(D194,'[1]FinalGRAM-SAP (2)'!$A$4:$B$731,2,0),0)</f>
        <v>0</v>
      </c>
      <c r="F194" s="11">
        <v>10000</v>
      </c>
    </row>
    <row r="195" spans="1:6">
      <c r="A195" t="s">
        <v>194</v>
      </c>
      <c r="B195" s="1" t="s">
        <v>1069</v>
      </c>
      <c r="C195" s="1"/>
      <c r="D195" s="1"/>
      <c r="E195" s="14">
        <f>IFERROR(VLOOKUP(D195,'[1]FinalGRAM-SAP (2)'!$A$4:$B$731,2,0),0)</f>
        <v>0</v>
      </c>
      <c r="F195" s="11">
        <v>10000</v>
      </c>
    </row>
    <row r="196" spans="1:6">
      <c r="A196" t="s">
        <v>195</v>
      </c>
      <c r="B196" s="1" t="s">
        <v>1070</v>
      </c>
      <c r="C196" s="1"/>
      <c r="D196" s="1"/>
      <c r="E196" s="14">
        <f>IFERROR(VLOOKUP(D196,'[1]FinalGRAM-SAP (2)'!$A$4:$B$731,2,0),0)</f>
        <v>0</v>
      </c>
      <c r="F196" s="11">
        <v>10000</v>
      </c>
    </row>
    <row r="197" spans="1:6">
      <c r="A197" t="s">
        <v>196</v>
      </c>
      <c r="B197" s="1" t="s">
        <v>1071</v>
      </c>
      <c r="C197" s="1"/>
      <c r="D197" s="1"/>
      <c r="E197" s="14">
        <f>IFERROR(VLOOKUP(D197,'[1]FinalGRAM-SAP (2)'!$A$4:$B$731,2,0),0)</f>
        <v>0</v>
      </c>
      <c r="F197" s="11">
        <v>10000</v>
      </c>
    </row>
    <row r="198" spans="1:6">
      <c r="A198" t="s">
        <v>197</v>
      </c>
      <c r="B198" s="1" t="s">
        <v>1072</v>
      </c>
      <c r="C198" s="1"/>
      <c r="D198" s="1"/>
      <c r="E198" s="14">
        <f>IFERROR(VLOOKUP(D198,'[1]FinalGRAM-SAP (2)'!$A$4:$B$731,2,0),0)</f>
        <v>0</v>
      </c>
      <c r="F198" s="11">
        <v>10000</v>
      </c>
    </row>
    <row r="199" spans="1:6">
      <c r="A199" t="s">
        <v>198</v>
      </c>
      <c r="B199" s="1" t="s">
        <v>1073</v>
      </c>
      <c r="C199" s="1"/>
      <c r="D199" s="1"/>
      <c r="E199" s="14">
        <f>IFERROR(VLOOKUP(D199,'[1]FinalGRAM-SAP (2)'!$A$4:$B$731,2,0),0)</f>
        <v>0</v>
      </c>
      <c r="F199" s="11">
        <v>10000</v>
      </c>
    </row>
    <row r="200" spans="1:6">
      <c r="A200" t="s">
        <v>199</v>
      </c>
      <c r="B200" s="1" t="s">
        <v>1074</v>
      </c>
      <c r="C200" s="1"/>
      <c r="D200" s="1"/>
      <c r="E200" s="14">
        <f>IFERROR(VLOOKUP(D200,'[1]FinalGRAM-SAP (2)'!$A$4:$B$731,2,0),0)</f>
        <v>0</v>
      </c>
      <c r="F200" s="11">
        <v>10000</v>
      </c>
    </row>
    <row r="201" spans="1:6">
      <c r="A201" t="s">
        <v>200</v>
      </c>
      <c r="B201" s="1" t="s">
        <v>1075</v>
      </c>
      <c r="C201" s="1"/>
      <c r="D201" s="1"/>
      <c r="E201" s="14">
        <f>IFERROR(VLOOKUP(D201,'[1]FinalGRAM-SAP (2)'!$A$4:$B$731,2,0),0)</f>
        <v>0</v>
      </c>
      <c r="F201" s="11">
        <v>10000</v>
      </c>
    </row>
    <row r="202" spans="1:6">
      <c r="A202" t="s">
        <v>201</v>
      </c>
      <c r="B202" s="1" t="s">
        <v>1076</v>
      </c>
      <c r="C202" s="1"/>
      <c r="D202" s="1"/>
      <c r="E202" s="14">
        <f>IFERROR(VLOOKUP(D202,'[1]FinalGRAM-SAP (2)'!$A$4:$B$731,2,0),0)</f>
        <v>0</v>
      </c>
      <c r="F202" s="11">
        <v>10000</v>
      </c>
    </row>
    <row r="203" spans="1:6">
      <c r="A203" t="s">
        <v>202</v>
      </c>
      <c r="B203" s="1" t="s">
        <v>1077</v>
      </c>
      <c r="C203" s="1"/>
      <c r="D203" s="1"/>
      <c r="E203" s="14">
        <f>IFERROR(VLOOKUP(D203,'[1]FinalGRAM-SAP (2)'!$A$4:$B$731,2,0),0)</f>
        <v>0</v>
      </c>
      <c r="F203" s="11">
        <v>10000</v>
      </c>
    </row>
    <row r="210" spans="1:1">
      <c r="A210" s="7" t="s">
        <v>1181</v>
      </c>
    </row>
    <row r="211" spans="1:1">
      <c r="A211" s="8" t="s">
        <v>1182</v>
      </c>
    </row>
    <row r="212" spans="1:1">
      <c r="A212" s="8" t="s">
        <v>1183</v>
      </c>
    </row>
    <row r="213" spans="1:1">
      <c r="A213" s="8" t="s">
        <v>1184</v>
      </c>
    </row>
    <row r="214" spans="1:1">
      <c r="A214" s="8" t="s">
        <v>1185</v>
      </c>
    </row>
    <row r="215" spans="1:1">
      <c r="A215" s="9" t="s">
        <v>1186</v>
      </c>
    </row>
    <row r="216" spans="1:1">
      <c r="A216" s="10"/>
    </row>
    <row r="217" spans="1:1">
      <c r="A217" s="7" t="s">
        <v>1187</v>
      </c>
    </row>
    <row r="218" spans="1:1">
      <c r="A218" s="8" t="s">
        <v>1188</v>
      </c>
    </row>
    <row r="219" spans="1:1">
      <c r="A219" s="8" t="s">
        <v>1189</v>
      </c>
    </row>
    <row r="220" spans="1:1">
      <c r="A220" s="8" t="s">
        <v>1190</v>
      </c>
    </row>
    <row r="221" spans="1:1">
      <c r="A221" s="8" t="s">
        <v>1191</v>
      </c>
    </row>
    <row r="222" spans="1:1">
      <c r="A222" s="9" t="s">
        <v>1192</v>
      </c>
    </row>
    <row r="223" spans="1:1">
      <c r="A223" s="10"/>
    </row>
    <row r="224" spans="1:1">
      <c r="A224" s="7" t="s">
        <v>1159</v>
      </c>
    </row>
    <row r="225" spans="1:1">
      <c r="A225" s="8" t="s">
        <v>1193</v>
      </c>
    </row>
    <row r="226" spans="1:1">
      <c r="A226" s="8" t="s">
        <v>1194</v>
      </c>
    </row>
    <row r="227" spans="1:1">
      <c r="A227" s="9" t="s">
        <v>1195</v>
      </c>
    </row>
  </sheetData>
  <autoFilter ref="A1:F227" xr:uid="{405AF695-728D-49A5-8B55-135356F3771A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C70B7-ED5E-4A1D-9A15-B5219F137469}">
  <sheetPr codeName="Sheet4"/>
  <dimension ref="A1:F378"/>
  <sheetViews>
    <sheetView topLeftCell="B1" zoomScale="115" zoomScaleNormal="115" workbookViewId="0">
      <selection activeCell="B7" sqref="A7:B74"/>
    </sheetView>
  </sheetViews>
  <sheetFormatPr defaultRowHeight="15"/>
  <cols>
    <col min="1" max="1" width="90.42578125" bestFit="1" customWidth="1"/>
    <col min="2" max="2" width="87.42578125" bestFit="1" customWidth="1"/>
    <col min="3" max="3" width="23.28515625" style="6" customWidth="1"/>
    <col min="5" max="5" width="30.5703125" customWidth="1"/>
  </cols>
  <sheetData>
    <row r="1" spans="1:6">
      <c r="A1" t="s">
        <v>210</v>
      </c>
    </row>
    <row r="2" spans="1:6">
      <c r="A2" t="s">
        <v>1220</v>
      </c>
      <c r="B2" s="1">
        <v>338046600</v>
      </c>
    </row>
    <row r="3" spans="1:6" s="17" customFormat="1">
      <c r="A3" s="17" t="s">
        <v>1220</v>
      </c>
      <c r="B3" s="18">
        <v>499259402</v>
      </c>
      <c r="C3" s="19" t="s">
        <v>1167</v>
      </c>
      <c r="E3" s="19" t="s">
        <v>1166</v>
      </c>
      <c r="F3" s="19"/>
    </row>
    <row r="4" spans="1:6" s="17" customFormat="1">
      <c r="A4" s="17" t="s">
        <v>1221</v>
      </c>
      <c r="B4" s="18">
        <v>321643163</v>
      </c>
      <c r="C4" s="19" t="s">
        <v>1167</v>
      </c>
      <c r="E4" s="19" t="s">
        <v>1167</v>
      </c>
      <c r="F4" s="19"/>
    </row>
    <row r="5" spans="1:6" s="17" customFormat="1">
      <c r="A5" s="17" t="s">
        <v>1221</v>
      </c>
      <c r="B5" s="18">
        <v>78502600</v>
      </c>
      <c r="C5" s="19" t="s">
        <v>1167</v>
      </c>
      <c r="E5" s="19" t="s">
        <v>1168</v>
      </c>
      <c r="F5" s="19"/>
    </row>
    <row r="6" spans="1:6" s="17" customFormat="1">
      <c r="A6" s="17" t="s">
        <v>1221</v>
      </c>
      <c r="B6" s="18">
        <v>233795400</v>
      </c>
      <c r="C6" s="19" t="s">
        <v>1167</v>
      </c>
      <c r="E6" s="19" t="s">
        <v>1169</v>
      </c>
      <c r="F6" s="19"/>
    </row>
    <row r="7" spans="1:6" s="17" customFormat="1">
      <c r="A7" s="17" t="s">
        <v>1221</v>
      </c>
      <c r="B7" s="18">
        <v>212515800</v>
      </c>
      <c r="C7" s="19" t="s">
        <v>1167</v>
      </c>
      <c r="E7" s="19" t="s">
        <v>1170</v>
      </c>
      <c r="F7" s="19"/>
    </row>
    <row r="8" spans="1:6" s="17" customFormat="1">
      <c r="A8" s="17" t="s">
        <v>1221</v>
      </c>
      <c r="B8" s="18">
        <v>338046600</v>
      </c>
      <c r="C8" s="19" t="s">
        <v>1167</v>
      </c>
      <c r="E8" s="19" t="s">
        <v>1171</v>
      </c>
      <c r="F8" s="19"/>
    </row>
    <row r="9" spans="1:6" s="17" customFormat="1">
      <c r="A9" s="17" t="s">
        <v>1221</v>
      </c>
      <c r="B9" s="18">
        <v>447312925</v>
      </c>
      <c r="C9" s="19" t="s">
        <v>1167</v>
      </c>
      <c r="E9" s="19" t="s">
        <v>1172</v>
      </c>
      <c r="F9" s="19"/>
    </row>
    <row r="10" spans="1:6" s="17" customFormat="1">
      <c r="A10" s="17" t="s">
        <v>1221</v>
      </c>
      <c r="B10" s="18">
        <v>211913000</v>
      </c>
      <c r="C10" s="19" t="s">
        <v>1167</v>
      </c>
      <c r="E10" s="19" t="s">
        <v>1173</v>
      </c>
      <c r="F10" s="19"/>
    </row>
    <row r="11" spans="1:6" s="17" customFormat="1">
      <c r="A11" s="17" t="s">
        <v>1221</v>
      </c>
      <c r="B11" s="18">
        <v>263663000</v>
      </c>
      <c r="C11" s="19" t="s">
        <v>1167</v>
      </c>
      <c r="E11" s="19" t="s">
        <v>1174</v>
      </c>
      <c r="F11" s="19"/>
    </row>
    <row r="12" spans="1:6" s="17" customFormat="1">
      <c r="A12" s="17" t="s">
        <v>1221</v>
      </c>
      <c r="B12" s="18">
        <v>188857</v>
      </c>
      <c r="C12" s="19" t="s">
        <v>1167</v>
      </c>
      <c r="E12" s="19" t="s">
        <v>1175</v>
      </c>
      <c r="F12" s="19"/>
    </row>
    <row r="13" spans="1:6" s="17" customFormat="1">
      <c r="A13" s="17" t="s">
        <v>1221</v>
      </c>
      <c r="B13" s="18">
        <v>292674800</v>
      </c>
      <c r="C13" s="19" t="s">
        <v>1167</v>
      </c>
      <c r="E13" s="19" t="s">
        <v>1176</v>
      </c>
      <c r="F13" s="19"/>
    </row>
    <row r="14" spans="1:6" s="17" customFormat="1">
      <c r="A14" s="17" t="s">
        <v>1221</v>
      </c>
      <c r="B14" s="18">
        <v>340919225</v>
      </c>
      <c r="C14" s="19" t="s">
        <v>1167</v>
      </c>
      <c r="E14" s="19" t="s">
        <v>1177</v>
      </c>
      <c r="F14" s="19"/>
    </row>
    <row r="15" spans="1:6" s="23" customFormat="1">
      <c r="A15" s="23" t="s">
        <v>1221</v>
      </c>
      <c r="B15" s="24">
        <v>340919225</v>
      </c>
      <c r="C15" s="25" t="s">
        <v>1173</v>
      </c>
      <c r="E15" s="23" t="s">
        <v>1197</v>
      </c>
    </row>
    <row r="16" spans="1:6" s="23" customFormat="1">
      <c r="A16" s="23" t="s">
        <v>1221</v>
      </c>
      <c r="B16" s="24">
        <v>121208793</v>
      </c>
      <c r="C16" s="25" t="s">
        <v>1173</v>
      </c>
      <c r="E16" s="23" t="s">
        <v>1198</v>
      </c>
    </row>
    <row r="17" spans="1:5" s="23" customFormat="1">
      <c r="A17" s="23" t="s">
        <v>1221</v>
      </c>
      <c r="B17" s="24">
        <v>264981024</v>
      </c>
      <c r="C17" s="25" t="s">
        <v>1173</v>
      </c>
      <c r="E17" s="23" t="s">
        <v>1199</v>
      </c>
    </row>
    <row r="18" spans="1:5" s="23" customFormat="1">
      <c r="A18" s="23" t="s">
        <v>1221</v>
      </c>
      <c r="B18" s="24">
        <v>65820782</v>
      </c>
      <c r="C18" s="25" t="s">
        <v>1173</v>
      </c>
      <c r="E18" s="25" t="s">
        <v>1200</v>
      </c>
    </row>
    <row r="19" spans="1:5" s="23" customFormat="1">
      <c r="A19" s="23" t="s">
        <v>1221</v>
      </c>
      <c r="B19" s="24">
        <v>470113069</v>
      </c>
      <c r="C19" s="25" t="s">
        <v>1173</v>
      </c>
      <c r="E19" s="25" t="s">
        <v>1201</v>
      </c>
    </row>
    <row r="20" spans="1:5" s="23" customFormat="1">
      <c r="A20" s="23" t="s">
        <v>1221</v>
      </c>
      <c r="B20" s="24">
        <v>4547955</v>
      </c>
      <c r="C20" s="25" t="s">
        <v>1173</v>
      </c>
      <c r="E20" s="23" t="s">
        <v>1196</v>
      </c>
    </row>
    <row r="21" spans="1:5" s="23" customFormat="1">
      <c r="A21" s="23" t="s">
        <v>1221</v>
      </c>
      <c r="B21" s="24">
        <v>7292250</v>
      </c>
      <c r="C21" s="25" t="s">
        <v>1173</v>
      </c>
    </row>
    <row r="22" spans="1:5" s="23" customFormat="1">
      <c r="A22" s="23" t="s">
        <v>1221</v>
      </c>
      <c r="B22" s="24">
        <v>95107851</v>
      </c>
      <c r="C22" s="25" t="s">
        <v>1173</v>
      </c>
    </row>
    <row r="23" spans="1:5" s="26" customFormat="1">
      <c r="A23" s="26" t="s">
        <v>1221</v>
      </c>
      <c r="B23" s="27">
        <v>41001005</v>
      </c>
      <c r="C23" s="28" t="s">
        <v>1197</v>
      </c>
    </row>
    <row r="24" spans="1:5" s="26" customFormat="1">
      <c r="A24" s="26" t="s">
        <v>1221</v>
      </c>
      <c r="B24" s="27">
        <v>3633002</v>
      </c>
      <c r="C24" s="28" t="s">
        <v>1197</v>
      </c>
    </row>
    <row r="25" spans="1:5" s="26" customFormat="1">
      <c r="A25" s="26" t="s">
        <v>1221</v>
      </c>
      <c r="B25" s="27">
        <v>247500</v>
      </c>
      <c r="C25" s="28" t="s">
        <v>1197</v>
      </c>
    </row>
    <row r="26" spans="1:5" s="26" customFormat="1">
      <c r="A26" s="26" t="s">
        <v>1221</v>
      </c>
      <c r="B26" s="27">
        <v>340919225</v>
      </c>
      <c r="C26" s="28" t="s">
        <v>1197</v>
      </c>
    </row>
    <row r="27" spans="1:5" s="29" customFormat="1">
      <c r="A27" s="29" t="s">
        <v>1221</v>
      </c>
      <c r="B27" s="30">
        <v>1067411891</v>
      </c>
      <c r="C27" s="31" t="s">
        <v>1198</v>
      </c>
    </row>
    <row r="28" spans="1:5" s="29" customFormat="1">
      <c r="A28" s="29" t="s">
        <v>1221</v>
      </c>
      <c r="B28" s="30">
        <v>122190479</v>
      </c>
      <c r="C28" s="31" t="s">
        <v>1198</v>
      </c>
    </row>
    <row r="29" spans="1:5" s="29" customFormat="1">
      <c r="A29" s="29" t="s">
        <v>1221</v>
      </c>
      <c r="B29" s="30">
        <v>28218258</v>
      </c>
      <c r="C29" s="31" t="s">
        <v>1198</v>
      </c>
    </row>
    <row r="30" spans="1:5" s="29" customFormat="1">
      <c r="A30" s="29" t="s">
        <v>1221</v>
      </c>
      <c r="B30" s="30">
        <v>28218258</v>
      </c>
      <c r="C30" s="31" t="s">
        <v>1198</v>
      </c>
    </row>
    <row r="31" spans="1:5" s="17" customFormat="1">
      <c r="A31" s="17" t="s">
        <v>1221</v>
      </c>
      <c r="B31" s="18">
        <v>25880000</v>
      </c>
      <c r="C31" s="19" t="s">
        <v>1167</v>
      </c>
    </row>
    <row r="32" spans="1:5" s="17" customFormat="1">
      <c r="A32" s="17" t="s">
        <v>1221</v>
      </c>
      <c r="B32" s="18">
        <v>1232344008</v>
      </c>
      <c r="C32" s="19" t="s">
        <v>1167</v>
      </c>
    </row>
    <row r="33" spans="1:3" s="17" customFormat="1">
      <c r="A33" s="17" t="s">
        <v>1221</v>
      </c>
      <c r="B33" s="18">
        <v>114404138</v>
      </c>
      <c r="C33" s="19" t="s">
        <v>1167</v>
      </c>
    </row>
    <row r="34" spans="1:3" s="17" customFormat="1">
      <c r="A34" s="17" t="s">
        <v>1221</v>
      </c>
      <c r="B34" s="18">
        <v>104870441</v>
      </c>
      <c r="C34" s="19" t="s">
        <v>1167</v>
      </c>
    </row>
    <row r="35" spans="1:3" s="17" customFormat="1">
      <c r="A35" s="17" t="s">
        <v>1221</v>
      </c>
      <c r="B35" s="18">
        <v>391594600</v>
      </c>
      <c r="C35" s="19" t="s">
        <v>1167</v>
      </c>
    </row>
    <row r="36" spans="1:3" s="17" customFormat="1">
      <c r="A36" s="17" t="s">
        <v>1221</v>
      </c>
      <c r="B36" s="18">
        <v>288579000</v>
      </c>
      <c r="C36" s="19" t="s">
        <v>1167</v>
      </c>
    </row>
    <row r="37" spans="1:3" s="17" customFormat="1">
      <c r="A37" s="17" t="s">
        <v>1221</v>
      </c>
      <c r="B37" s="18">
        <v>293146000</v>
      </c>
      <c r="C37" s="19" t="s">
        <v>1167</v>
      </c>
    </row>
    <row r="38" spans="1:3" s="17" customFormat="1">
      <c r="A38" s="17" t="s">
        <v>1221</v>
      </c>
      <c r="B38" s="18">
        <v>28257984</v>
      </c>
      <c r="C38" s="19" t="s">
        <v>1167</v>
      </c>
    </row>
    <row r="39" spans="1:3" s="17" customFormat="1">
      <c r="A39" s="17" t="s">
        <v>1221</v>
      </c>
      <c r="B39" s="18">
        <v>25920000</v>
      </c>
      <c r="C39" s="19" t="s">
        <v>1167</v>
      </c>
    </row>
    <row r="40" spans="1:3" s="17" customFormat="1">
      <c r="A40" s="17" t="s">
        <v>1221</v>
      </c>
      <c r="B40" s="18">
        <v>129178800</v>
      </c>
      <c r="C40" s="19" t="s">
        <v>1167</v>
      </c>
    </row>
    <row r="41" spans="1:3" s="17" customFormat="1">
      <c r="A41" s="17" t="s">
        <v>1221</v>
      </c>
      <c r="B41" s="18">
        <v>296492000</v>
      </c>
      <c r="C41" s="19" t="s">
        <v>1167</v>
      </c>
    </row>
    <row r="42" spans="1:3" s="17" customFormat="1">
      <c r="A42" s="17" t="s">
        <v>1221</v>
      </c>
      <c r="B42" s="18">
        <v>280803360</v>
      </c>
      <c r="C42" s="19" t="s">
        <v>1167</v>
      </c>
    </row>
    <row r="43" spans="1:3" s="17" customFormat="1">
      <c r="A43" s="17" t="s">
        <v>211</v>
      </c>
      <c r="B43" s="18" t="s">
        <v>212</v>
      </c>
      <c r="C43" s="19" t="s">
        <v>1167</v>
      </c>
    </row>
    <row r="44" spans="1:3" s="17" customFormat="1">
      <c r="A44" s="17" t="s">
        <v>213</v>
      </c>
      <c r="B44" s="18" t="s">
        <v>214</v>
      </c>
      <c r="C44" s="19" t="s">
        <v>1167</v>
      </c>
    </row>
    <row r="45" spans="1:3" s="17" customFormat="1">
      <c r="A45" s="17" t="s">
        <v>215</v>
      </c>
      <c r="B45" s="18" t="s">
        <v>216</v>
      </c>
      <c r="C45" s="19" t="s">
        <v>1167</v>
      </c>
    </row>
    <row r="46" spans="1:3" s="17" customFormat="1">
      <c r="A46" s="17" t="s">
        <v>217</v>
      </c>
      <c r="B46" s="18" t="s">
        <v>218</v>
      </c>
      <c r="C46" s="19" t="s">
        <v>1167</v>
      </c>
    </row>
    <row r="47" spans="1:3" s="17" customFormat="1">
      <c r="A47" s="17" t="s">
        <v>219</v>
      </c>
      <c r="B47" s="18" t="s">
        <v>220</v>
      </c>
      <c r="C47" s="19" t="s">
        <v>1167</v>
      </c>
    </row>
    <row r="48" spans="1:3" s="17" customFormat="1">
      <c r="A48" s="17" t="s">
        <v>221</v>
      </c>
      <c r="B48" s="18" t="s">
        <v>222</v>
      </c>
      <c r="C48" s="19" t="s">
        <v>1167</v>
      </c>
    </row>
    <row r="49" spans="1:3" s="17" customFormat="1">
      <c r="A49" s="17" t="s">
        <v>223</v>
      </c>
      <c r="B49" s="18" t="s">
        <v>224</v>
      </c>
      <c r="C49" s="19" t="s">
        <v>1167</v>
      </c>
    </row>
    <row r="50" spans="1:3" s="17" customFormat="1">
      <c r="A50" s="17" t="s">
        <v>225</v>
      </c>
      <c r="B50" s="18" t="s">
        <v>226</v>
      </c>
      <c r="C50" s="19" t="s">
        <v>1167</v>
      </c>
    </row>
    <row r="51" spans="1:3" s="17" customFormat="1">
      <c r="A51" s="17" t="s">
        <v>227</v>
      </c>
      <c r="B51" s="18" t="s">
        <v>228</v>
      </c>
      <c r="C51" s="19" t="s">
        <v>1167</v>
      </c>
    </row>
    <row r="52" spans="1:3" s="32" customFormat="1">
      <c r="A52" s="32" t="s">
        <v>229</v>
      </c>
      <c r="B52" s="33" t="s">
        <v>230</v>
      </c>
      <c r="C52" s="34" t="s">
        <v>1168</v>
      </c>
    </row>
    <row r="53" spans="1:3" s="32" customFormat="1">
      <c r="A53" s="32" t="s">
        <v>231</v>
      </c>
      <c r="B53" s="33" t="s">
        <v>232</v>
      </c>
      <c r="C53" s="34" t="s">
        <v>1168</v>
      </c>
    </row>
    <row r="54" spans="1:3" s="32" customFormat="1">
      <c r="A54" s="32" t="s">
        <v>233</v>
      </c>
      <c r="B54" s="33" t="s">
        <v>234</v>
      </c>
      <c r="C54" s="34" t="s">
        <v>1168</v>
      </c>
    </row>
    <row r="55" spans="1:3" s="32" customFormat="1">
      <c r="A55" s="32" t="s">
        <v>235</v>
      </c>
      <c r="B55" s="33" t="s">
        <v>236</v>
      </c>
      <c r="C55" s="34" t="s">
        <v>1168</v>
      </c>
    </row>
    <row r="56" spans="1:3">
      <c r="A56" t="s">
        <v>237</v>
      </c>
      <c r="B56" s="53" t="s">
        <v>238</v>
      </c>
      <c r="C56" s="54" t="s">
        <v>1166</v>
      </c>
    </row>
    <row r="57" spans="1:3">
      <c r="A57" t="s">
        <v>239</v>
      </c>
      <c r="B57" s="53" t="s">
        <v>240</v>
      </c>
      <c r="C57" s="54" t="s">
        <v>1166</v>
      </c>
    </row>
    <row r="58" spans="1:3">
      <c r="A58" t="s">
        <v>241</v>
      </c>
      <c r="B58" s="53" t="s">
        <v>242</v>
      </c>
      <c r="C58" s="54" t="s">
        <v>1166</v>
      </c>
    </row>
    <row r="59" spans="1:3">
      <c r="A59" t="s">
        <v>243</v>
      </c>
      <c r="B59" s="53" t="s">
        <v>244</v>
      </c>
      <c r="C59" s="54" t="s">
        <v>1166</v>
      </c>
    </row>
    <row r="60" spans="1:3" s="17" customFormat="1">
      <c r="A60" s="17" t="s">
        <v>245</v>
      </c>
      <c r="B60" s="18" t="s">
        <v>246</v>
      </c>
      <c r="C60" s="19" t="s">
        <v>1172</v>
      </c>
    </row>
    <row r="61" spans="1:3" s="17" customFormat="1">
      <c r="A61" s="17" t="s">
        <v>247</v>
      </c>
      <c r="B61" s="18" t="s">
        <v>248</v>
      </c>
      <c r="C61" s="19" t="s">
        <v>1172</v>
      </c>
    </row>
    <row r="62" spans="1:3" s="17" customFormat="1">
      <c r="A62" s="17" t="s">
        <v>249</v>
      </c>
      <c r="B62" s="18" t="s">
        <v>250</v>
      </c>
      <c r="C62" s="19" t="s">
        <v>1172</v>
      </c>
    </row>
    <row r="63" spans="1:3" s="17" customFormat="1">
      <c r="A63" s="17" t="s">
        <v>251</v>
      </c>
      <c r="B63" s="18" t="s">
        <v>252</v>
      </c>
      <c r="C63" s="19" t="s">
        <v>1172</v>
      </c>
    </row>
    <row r="64" spans="1:3" s="17" customFormat="1">
      <c r="A64" s="17" t="s">
        <v>253</v>
      </c>
      <c r="B64" s="18" t="s">
        <v>254</v>
      </c>
      <c r="C64" s="19" t="s">
        <v>1172</v>
      </c>
    </row>
    <row r="65" spans="1:3" s="17" customFormat="1">
      <c r="A65" s="17" t="s">
        <v>255</v>
      </c>
      <c r="B65" s="18" t="s">
        <v>256</v>
      </c>
      <c r="C65" s="19" t="s">
        <v>1172</v>
      </c>
    </row>
    <row r="66" spans="1:3" s="17" customFormat="1">
      <c r="A66" s="17" t="s">
        <v>257</v>
      </c>
      <c r="B66" s="18" t="s">
        <v>258</v>
      </c>
      <c r="C66" s="19" t="s">
        <v>1172</v>
      </c>
    </row>
    <row r="67" spans="1:3" s="17" customFormat="1">
      <c r="A67" s="17" t="s">
        <v>259</v>
      </c>
      <c r="B67" s="18" t="s">
        <v>260</v>
      </c>
      <c r="C67" s="19" t="s">
        <v>1172</v>
      </c>
    </row>
    <row r="68" spans="1:3" s="35" customFormat="1">
      <c r="A68" s="35" t="s">
        <v>261</v>
      </c>
      <c r="B68" s="36" t="s">
        <v>262</v>
      </c>
      <c r="C68" s="37" t="s">
        <v>1174</v>
      </c>
    </row>
    <row r="69" spans="1:3" s="35" customFormat="1">
      <c r="A69" s="35" t="s">
        <v>263</v>
      </c>
      <c r="B69" s="36" t="s">
        <v>264</v>
      </c>
      <c r="C69" s="37" t="s">
        <v>1174</v>
      </c>
    </row>
    <row r="70" spans="1:3" s="35" customFormat="1">
      <c r="A70" s="35" t="s">
        <v>265</v>
      </c>
      <c r="B70" s="36" t="s">
        <v>266</v>
      </c>
      <c r="C70" s="37" t="s">
        <v>1174</v>
      </c>
    </row>
    <row r="71" spans="1:3" s="35" customFormat="1">
      <c r="A71" s="35" t="s">
        <v>267</v>
      </c>
      <c r="B71" s="36" t="s">
        <v>268</v>
      </c>
      <c r="C71" s="37" t="s">
        <v>1174</v>
      </c>
    </row>
    <row r="72" spans="1:3" s="35" customFormat="1">
      <c r="A72" s="35" t="s">
        <v>269</v>
      </c>
      <c r="B72" s="36" t="s">
        <v>270</v>
      </c>
      <c r="C72" s="37" t="s">
        <v>1174</v>
      </c>
    </row>
    <row r="73" spans="1:3" s="35" customFormat="1">
      <c r="A73" s="35" t="s">
        <v>271</v>
      </c>
      <c r="B73" s="36" t="s">
        <v>272</v>
      </c>
      <c r="C73" s="37" t="s">
        <v>1174</v>
      </c>
    </row>
    <row r="74" spans="1:3" s="35" customFormat="1">
      <c r="A74" s="35" t="s">
        <v>273</v>
      </c>
      <c r="B74" s="36" t="s">
        <v>274</v>
      </c>
      <c r="C74" s="37" t="s">
        <v>1174</v>
      </c>
    </row>
    <row r="75" spans="1:3" s="35" customFormat="1">
      <c r="A75" s="35" t="s">
        <v>275</v>
      </c>
      <c r="B75" s="36" t="s">
        <v>276</v>
      </c>
      <c r="C75" s="37" t="s">
        <v>1174</v>
      </c>
    </row>
    <row r="76" spans="1:3" s="35" customFormat="1">
      <c r="A76" s="35" t="s">
        <v>277</v>
      </c>
      <c r="B76" s="36" t="s">
        <v>278</v>
      </c>
      <c r="C76" s="37" t="s">
        <v>1174</v>
      </c>
    </row>
    <row r="77" spans="1:3" s="35" customFormat="1">
      <c r="A77" s="35" t="s">
        <v>279</v>
      </c>
      <c r="B77" s="36" t="s">
        <v>280</v>
      </c>
      <c r="C77" s="37" t="s">
        <v>1174</v>
      </c>
    </row>
    <row r="78" spans="1:3" s="35" customFormat="1">
      <c r="A78" s="35" t="s">
        <v>281</v>
      </c>
      <c r="B78" s="36" t="s">
        <v>282</v>
      </c>
      <c r="C78" s="37" t="s">
        <v>1174</v>
      </c>
    </row>
    <row r="79" spans="1:3" s="35" customFormat="1">
      <c r="A79" s="35" t="s">
        <v>283</v>
      </c>
      <c r="B79" s="36" t="s">
        <v>284</v>
      </c>
      <c r="C79" s="37" t="s">
        <v>1174</v>
      </c>
    </row>
    <row r="80" spans="1:3" s="35" customFormat="1">
      <c r="A80" s="35" t="s">
        <v>285</v>
      </c>
      <c r="B80" s="36" t="s">
        <v>286</v>
      </c>
      <c r="C80" s="37" t="s">
        <v>1174</v>
      </c>
    </row>
    <row r="81" spans="1:3" s="17" customFormat="1">
      <c r="A81" s="17" t="s">
        <v>287</v>
      </c>
      <c r="B81" s="18" t="s">
        <v>288</v>
      </c>
      <c r="C81" s="19" t="s">
        <v>1167</v>
      </c>
    </row>
    <row r="82" spans="1:3" s="17" customFormat="1">
      <c r="A82" s="17" t="s">
        <v>289</v>
      </c>
      <c r="B82" s="18" t="s">
        <v>290</v>
      </c>
      <c r="C82" s="19" t="s">
        <v>1167</v>
      </c>
    </row>
    <row r="83" spans="1:3" s="17" customFormat="1">
      <c r="A83" s="17" t="s">
        <v>291</v>
      </c>
      <c r="B83" s="18" t="s">
        <v>292</v>
      </c>
      <c r="C83" s="19" t="s">
        <v>1167</v>
      </c>
    </row>
    <row r="84" spans="1:3" s="17" customFormat="1">
      <c r="A84" s="17" t="s">
        <v>293</v>
      </c>
      <c r="B84" s="18" t="s">
        <v>294</v>
      </c>
      <c r="C84" s="19" t="s">
        <v>1167</v>
      </c>
    </row>
    <row r="85" spans="1:3" s="35" customFormat="1">
      <c r="A85" s="35" t="s">
        <v>295</v>
      </c>
      <c r="B85" s="36" t="s">
        <v>296</v>
      </c>
      <c r="C85" s="37" t="s">
        <v>1174</v>
      </c>
    </row>
    <row r="86" spans="1:3" s="35" customFormat="1">
      <c r="A86" s="35" t="s">
        <v>297</v>
      </c>
      <c r="B86" s="36" t="s">
        <v>298</v>
      </c>
      <c r="C86" s="37" t="s">
        <v>1174</v>
      </c>
    </row>
    <row r="87" spans="1:3" s="17" customFormat="1">
      <c r="A87" s="17" t="s">
        <v>299</v>
      </c>
      <c r="B87" s="18" t="s">
        <v>300</v>
      </c>
      <c r="C87" s="19" t="s">
        <v>1167</v>
      </c>
    </row>
    <row r="88" spans="1:3" s="17" customFormat="1">
      <c r="A88" s="17" t="s">
        <v>301</v>
      </c>
      <c r="B88" s="18" t="s">
        <v>302</v>
      </c>
      <c r="C88" s="19" t="s">
        <v>1167</v>
      </c>
    </row>
    <row r="89" spans="1:3" s="17" customFormat="1">
      <c r="A89" s="17" t="s">
        <v>303</v>
      </c>
      <c r="B89" s="18" t="s">
        <v>304</v>
      </c>
      <c r="C89" s="19" t="s">
        <v>1167</v>
      </c>
    </row>
    <row r="90" spans="1:3" s="17" customFormat="1">
      <c r="A90" s="17" t="s">
        <v>305</v>
      </c>
      <c r="B90" s="18" t="s">
        <v>306</v>
      </c>
      <c r="C90" s="19" t="s">
        <v>1167</v>
      </c>
    </row>
    <row r="91" spans="1:3" s="17" customFormat="1">
      <c r="A91" s="17" t="s">
        <v>307</v>
      </c>
      <c r="B91" s="18" t="s">
        <v>308</v>
      </c>
      <c r="C91" s="19" t="s">
        <v>1167</v>
      </c>
    </row>
    <row r="92" spans="1:3" s="44" customFormat="1">
      <c r="A92" s="44" t="s">
        <v>309</v>
      </c>
      <c r="B92" s="45" t="s">
        <v>310</v>
      </c>
      <c r="C92" s="46" t="s">
        <v>1176</v>
      </c>
    </row>
    <row r="93" spans="1:3" s="44" customFormat="1">
      <c r="A93" s="44" t="s">
        <v>311</v>
      </c>
      <c r="B93" s="45" t="s">
        <v>312</v>
      </c>
      <c r="C93" s="46" t="s">
        <v>1176</v>
      </c>
    </row>
    <row r="94" spans="1:3" s="44" customFormat="1">
      <c r="A94" s="44" t="s">
        <v>313</v>
      </c>
      <c r="B94" s="45" t="s">
        <v>314</v>
      </c>
      <c r="C94" s="46" t="s">
        <v>1176</v>
      </c>
    </row>
    <row r="95" spans="1:3" s="44" customFormat="1">
      <c r="A95" s="44" t="s">
        <v>315</v>
      </c>
      <c r="B95" s="45" t="s">
        <v>316</v>
      </c>
      <c r="C95" s="46" t="s">
        <v>1176</v>
      </c>
    </row>
    <row r="96" spans="1:3" s="44" customFormat="1">
      <c r="A96" s="44" t="s">
        <v>317</v>
      </c>
      <c r="B96" s="45" t="s">
        <v>318</v>
      </c>
      <c r="C96" s="46" t="s">
        <v>1176</v>
      </c>
    </row>
    <row r="97" spans="1:3" s="44" customFormat="1">
      <c r="A97" s="44" t="s">
        <v>319</v>
      </c>
      <c r="B97" s="45" t="s">
        <v>320</v>
      </c>
      <c r="C97" s="46" t="s">
        <v>1176</v>
      </c>
    </row>
    <row r="98" spans="1:3" s="44" customFormat="1">
      <c r="A98" s="44" t="s">
        <v>321</v>
      </c>
      <c r="B98" s="45" t="s">
        <v>322</v>
      </c>
      <c r="C98" s="46" t="s">
        <v>1176</v>
      </c>
    </row>
    <row r="99" spans="1:3" s="44" customFormat="1">
      <c r="A99" s="44" t="s">
        <v>323</v>
      </c>
      <c r="B99" s="45" t="s">
        <v>324</v>
      </c>
      <c r="C99" s="46" t="s">
        <v>1176</v>
      </c>
    </row>
    <row r="100" spans="1:3" s="44" customFormat="1">
      <c r="A100" s="44" t="s">
        <v>325</v>
      </c>
      <c r="B100" s="45" t="s">
        <v>326</v>
      </c>
      <c r="C100" s="46" t="s">
        <v>1176</v>
      </c>
    </row>
    <row r="101" spans="1:3" s="44" customFormat="1">
      <c r="A101" s="44" t="s">
        <v>327</v>
      </c>
      <c r="B101" s="45" t="s">
        <v>328</v>
      </c>
      <c r="C101" s="46" t="s">
        <v>1176</v>
      </c>
    </row>
    <row r="102" spans="1:3" s="44" customFormat="1">
      <c r="A102" s="44" t="s">
        <v>329</v>
      </c>
      <c r="B102" s="45" t="s">
        <v>330</v>
      </c>
      <c r="C102" s="46" t="s">
        <v>1176</v>
      </c>
    </row>
    <row r="103" spans="1:3" s="44" customFormat="1">
      <c r="A103" s="44" t="s">
        <v>331</v>
      </c>
      <c r="B103" s="45" t="s">
        <v>332</v>
      </c>
      <c r="C103" s="46" t="s">
        <v>1176</v>
      </c>
    </row>
    <row r="104" spans="1:3" s="44" customFormat="1">
      <c r="A104" s="44" t="s">
        <v>333</v>
      </c>
      <c r="B104" s="45" t="s">
        <v>334</v>
      </c>
      <c r="C104" s="46" t="s">
        <v>1176</v>
      </c>
    </row>
    <row r="105" spans="1:3" s="44" customFormat="1">
      <c r="A105" s="44" t="s">
        <v>335</v>
      </c>
      <c r="B105" s="45" t="s">
        <v>336</v>
      </c>
      <c r="C105" s="46" t="s">
        <v>1176</v>
      </c>
    </row>
    <row r="106" spans="1:3" s="44" customFormat="1">
      <c r="A106" s="44" t="s">
        <v>337</v>
      </c>
      <c r="B106" s="45" t="s">
        <v>338</v>
      </c>
      <c r="C106" s="46" t="s">
        <v>1176</v>
      </c>
    </row>
    <row r="107" spans="1:3" s="44" customFormat="1">
      <c r="A107" s="44" t="s">
        <v>339</v>
      </c>
      <c r="B107" s="45" t="s">
        <v>340</v>
      </c>
      <c r="C107" s="46" t="s">
        <v>1176</v>
      </c>
    </row>
    <row r="108" spans="1:3" s="44" customFormat="1">
      <c r="A108" s="44" t="s">
        <v>341</v>
      </c>
      <c r="B108" s="45" t="s">
        <v>342</v>
      </c>
      <c r="C108" s="46" t="s">
        <v>1176</v>
      </c>
    </row>
    <row r="109" spans="1:3" s="47" customFormat="1">
      <c r="A109" s="47" t="s">
        <v>343</v>
      </c>
      <c r="B109" s="48" t="s">
        <v>344</v>
      </c>
      <c r="C109" s="49" t="s">
        <v>1204</v>
      </c>
    </row>
    <row r="110" spans="1:3" s="47" customFormat="1">
      <c r="A110" s="47" t="s">
        <v>345</v>
      </c>
      <c r="B110" s="48" t="s">
        <v>346</v>
      </c>
      <c r="C110" s="49" t="s">
        <v>1204</v>
      </c>
    </row>
    <row r="111" spans="1:3" s="47" customFormat="1">
      <c r="A111" s="47" t="s">
        <v>347</v>
      </c>
      <c r="B111" s="48" t="s">
        <v>348</v>
      </c>
      <c r="C111" s="49" t="s">
        <v>1204</v>
      </c>
    </row>
    <row r="112" spans="1:3" s="47" customFormat="1">
      <c r="A112" s="47" t="s">
        <v>349</v>
      </c>
      <c r="B112" s="48" t="s">
        <v>350</v>
      </c>
      <c r="C112" s="49" t="s">
        <v>1204</v>
      </c>
    </row>
    <row r="113" spans="1:3" s="47" customFormat="1">
      <c r="A113" s="47" t="s">
        <v>351</v>
      </c>
      <c r="B113" s="48" t="s">
        <v>352</v>
      </c>
      <c r="C113" s="49" t="s">
        <v>1204</v>
      </c>
    </row>
    <row r="114" spans="1:3" s="47" customFormat="1">
      <c r="A114" s="47" t="s">
        <v>353</v>
      </c>
      <c r="B114" s="48" t="s">
        <v>354</v>
      </c>
      <c r="C114" s="49" t="s">
        <v>1204</v>
      </c>
    </row>
    <row r="115" spans="1:3" s="47" customFormat="1">
      <c r="A115" s="47" t="s">
        <v>355</v>
      </c>
      <c r="B115" s="48" t="s">
        <v>356</v>
      </c>
      <c r="C115" s="49" t="s">
        <v>1204</v>
      </c>
    </row>
    <row r="116" spans="1:3" s="47" customFormat="1">
      <c r="A116" s="47" t="s">
        <v>357</v>
      </c>
      <c r="B116" s="48" t="s">
        <v>358</v>
      </c>
      <c r="C116" s="49" t="s">
        <v>1204</v>
      </c>
    </row>
    <row r="117" spans="1:3" s="47" customFormat="1">
      <c r="A117" s="47" t="s">
        <v>359</v>
      </c>
      <c r="B117" s="48" t="s">
        <v>360</v>
      </c>
      <c r="C117" s="49" t="s">
        <v>1204</v>
      </c>
    </row>
    <row r="118" spans="1:3" s="47" customFormat="1">
      <c r="A118" s="47" t="s">
        <v>361</v>
      </c>
      <c r="B118" s="48" t="s">
        <v>362</v>
      </c>
      <c r="C118" s="49" t="s">
        <v>1204</v>
      </c>
    </row>
    <row r="119" spans="1:3" s="47" customFormat="1">
      <c r="A119" s="47" t="s">
        <v>363</v>
      </c>
      <c r="B119" s="48" t="s">
        <v>364</v>
      </c>
      <c r="C119" s="49" t="s">
        <v>1204</v>
      </c>
    </row>
    <row r="120" spans="1:3" s="47" customFormat="1">
      <c r="A120" s="47" t="s">
        <v>365</v>
      </c>
      <c r="B120" s="48" t="s">
        <v>366</v>
      </c>
      <c r="C120" s="49" t="s">
        <v>1204</v>
      </c>
    </row>
    <row r="121" spans="1:3" s="47" customFormat="1">
      <c r="A121" s="47" t="s">
        <v>367</v>
      </c>
      <c r="B121" s="48" t="s">
        <v>368</v>
      </c>
      <c r="C121" s="49" t="s">
        <v>1204</v>
      </c>
    </row>
    <row r="122" spans="1:3" s="41" customFormat="1">
      <c r="A122" s="41" t="s">
        <v>369</v>
      </c>
      <c r="B122" s="42" t="s">
        <v>370</v>
      </c>
      <c r="C122" s="43" t="s">
        <v>1199</v>
      </c>
    </row>
    <row r="123" spans="1:3" s="35" customFormat="1">
      <c r="A123" s="35" t="s">
        <v>371</v>
      </c>
      <c r="B123" s="36" t="s">
        <v>372</v>
      </c>
      <c r="C123" s="37" t="s">
        <v>1174</v>
      </c>
    </row>
    <row r="124" spans="1:3" s="35" customFormat="1">
      <c r="A124" s="35" t="s">
        <v>373</v>
      </c>
      <c r="B124" s="36" t="s">
        <v>374</v>
      </c>
      <c r="C124" s="37" t="s">
        <v>1174</v>
      </c>
    </row>
    <row r="125" spans="1:3" s="17" customFormat="1">
      <c r="A125" s="17" t="s">
        <v>375</v>
      </c>
      <c r="B125" s="18" t="s">
        <v>376</v>
      </c>
      <c r="C125" s="19" t="s">
        <v>1167</v>
      </c>
    </row>
    <row r="126" spans="1:3" s="17" customFormat="1">
      <c r="A126" s="17" t="s">
        <v>377</v>
      </c>
      <c r="B126" s="18" t="s">
        <v>378</v>
      </c>
      <c r="C126" s="19" t="s">
        <v>1167</v>
      </c>
    </row>
    <row r="127" spans="1:3" s="17" customFormat="1">
      <c r="A127" s="17" t="s">
        <v>379</v>
      </c>
      <c r="B127" s="18" t="s">
        <v>380</v>
      </c>
      <c r="C127" s="19" t="s">
        <v>1167</v>
      </c>
    </row>
    <row r="128" spans="1:3" s="17" customFormat="1">
      <c r="A128" s="17" t="s">
        <v>381</v>
      </c>
      <c r="B128" s="18" t="s">
        <v>382</v>
      </c>
      <c r="C128" s="19" t="s">
        <v>1167</v>
      </c>
    </row>
    <row r="129" spans="1:3" s="17" customFormat="1">
      <c r="A129" s="17" t="s">
        <v>383</v>
      </c>
      <c r="B129" s="18" t="s">
        <v>384</v>
      </c>
      <c r="C129" s="19" t="s">
        <v>1167</v>
      </c>
    </row>
    <row r="130" spans="1:3" s="17" customFormat="1">
      <c r="A130" s="17" t="s">
        <v>385</v>
      </c>
      <c r="B130" s="18" t="s">
        <v>386</v>
      </c>
      <c r="C130" s="19" t="s">
        <v>1167</v>
      </c>
    </row>
    <row r="131" spans="1:3" s="17" customFormat="1">
      <c r="A131" s="17" t="s">
        <v>387</v>
      </c>
      <c r="B131" s="18" t="s">
        <v>388</v>
      </c>
      <c r="C131" s="19" t="s">
        <v>1167</v>
      </c>
    </row>
    <row r="132" spans="1:3" s="17" customFormat="1">
      <c r="A132" s="17" t="s">
        <v>389</v>
      </c>
      <c r="B132" s="18" t="s">
        <v>390</v>
      </c>
      <c r="C132" s="19" t="s">
        <v>1167</v>
      </c>
    </row>
    <row r="133" spans="1:3" s="17" customFormat="1">
      <c r="A133" s="17" t="s">
        <v>391</v>
      </c>
      <c r="B133" s="18" t="s">
        <v>392</v>
      </c>
      <c r="C133" s="19" t="s">
        <v>1167</v>
      </c>
    </row>
    <row r="134" spans="1:3" s="17" customFormat="1">
      <c r="A134" s="17" t="s">
        <v>393</v>
      </c>
      <c r="B134" s="18" t="s">
        <v>394</v>
      </c>
      <c r="C134" s="19" t="s">
        <v>1167</v>
      </c>
    </row>
    <row r="135" spans="1:3" s="17" customFormat="1">
      <c r="A135" s="17" t="s">
        <v>395</v>
      </c>
      <c r="B135" s="18" t="s">
        <v>396</v>
      </c>
      <c r="C135" s="19" t="s">
        <v>1167</v>
      </c>
    </row>
    <row r="136" spans="1:3" s="17" customFormat="1">
      <c r="A136" s="17" t="s">
        <v>397</v>
      </c>
      <c r="B136" s="18" t="s">
        <v>398</v>
      </c>
      <c r="C136" s="19" t="s">
        <v>1167</v>
      </c>
    </row>
    <row r="137" spans="1:3" s="17" customFormat="1">
      <c r="A137" s="17" t="s">
        <v>399</v>
      </c>
      <c r="B137" s="18" t="s">
        <v>400</v>
      </c>
      <c r="C137" s="19" t="s">
        <v>1167</v>
      </c>
    </row>
    <row r="138" spans="1:3" s="17" customFormat="1">
      <c r="A138" s="17" t="s">
        <v>401</v>
      </c>
      <c r="B138" s="18" t="s">
        <v>402</v>
      </c>
      <c r="C138" s="19" t="s">
        <v>1167</v>
      </c>
    </row>
    <row r="139" spans="1:3" s="17" customFormat="1">
      <c r="A139" s="17" t="s">
        <v>403</v>
      </c>
      <c r="B139" s="18" t="s">
        <v>404</v>
      </c>
      <c r="C139" s="19" t="s">
        <v>1167</v>
      </c>
    </row>
    <row r="140" spans="1:3" s="17" customFormat="1">
      <c r="A140" s="17" t="s">
        <v>405</v>
      </c>
      <c r="B140" s="18" t="s">
        <v>406</v>
      </c>
      <c r="C140" s="19" t="s">
        <v>1167</v>
      </c>
    </row>
    <row r="141" spans="1:3" s="17" customFormat="1">
      <c r="A141" s="17" t="s">
        <v>407</v>
      </c>
      <c r="B141" s="18" t="s">
        <v>408</v>
      </c>
      <c r="C141" s="19" t="s">
        <v>1167</v>
      </c>
    </row>
    <row r="142" spans="1:3" s="17" customFormat="1">
      <c r="A142" s="17" t="s">
        <v>409</v>
      </c>
      <c r="B142" s="18" t="s">
        <v>410</v>
      </c>
      <c r="C142" s="19" t="s">
        <v>1167</v>
      </c>
    </row>
    <row r="143" spans="1:3" s="20" customFormat="1">
      <c r="A143" s="20" t="s">
        <v>411</v>
      </c>
      <c r="B143" s="21" t="s">
        <v>412</v>
      </c>
      <c r="C143" s="22" t="s">
        <v>1177</v>
      </c>
    </row>
    <row r="144" spans="1:3" s="20" customFormat="1">
      <c r="A144" s="20" t="s">
        <v>413</v>
      </c>
      <c r="B144" s="21" t="s">
        <v>414</v>
      </c>
      <c r="C144" s="22" t="s">
        <v>1177</v>
      </c>
    </row>
    <row r="145" spans="1:3" s="20" customFormat="1">
      <c r="A145" s="20" t="s">
        <v>415</v>
      </c>
      <c r="B145" s="21" t="s">
        <v>416</v>
      </c>
      <c r="C145" s="22" t="s">
        <v>1177</v>
      </c>
    </row>
    <row r="146" spans="1:3" s="20" customFormat="1">
      <c r="A146" s="20" t="s">
        <v>417</v>
      </c>
      <c r="B146" s="21" t="s">
        <v>418</v>
      </c>
      <c r="C146" s="22" t="s">
        <v>1177</v>
      </c>
    </row>
    <row r="147" spans="1:3" s="20" customFormat="1">
      <c r="A147" s="20" t="s">
        <v>419</v>
      </c>
      <c r="B147" s="21" t="s">
        <v>420</v>
      </c>
      <c r="C147" s="22" t="s">
        <v>1177</v>
      </c>
    </row>
    <row r="148" spans="1:3" s="17" customFormat="1">
      <c r="A148" s="17" t="s">
        <v>421</v>
      </c>
      <c r="B148" s="18" t="s">
        <v>422</v>
      </c>
      <c r="C148" s="19" t="s">
        <v>1167</v>
      </c>
    </row>
    <row r="149" spans="1:3" s="17" customFormat="1">
      <c r="A149" s="17" t="s">
        <v>423</v>
      </c>
      <c r="B149" s="18" t="s">
        <v>424</v>
      </c>
      <c r="C149" s="19" t="s">
        <v>1167</v>
      </c>
    </row>
    <row r="150" spans="1:3" s="17" customFormat="1">
      <c r="A150" s="17" t="s">
        <v>425</v>
      </c>
      <c r="B150" s="18" t="s">
        <v>426</v>
      </c>
      <c r="C150" s="19" t="s">
        <v>1167</v>
      </c>
    </row>
    <row r="151" spans="1:3" s="17" customFormat="1">
      <c r="A151" s="17" t="s">
        <v>427</v>
      </c>
      <c r="B151" s="18" t="s">
        <v>428</v>
      </c>
      <c r="C151" s="19" t="s">
        <v>1167</v>
      </c>
    </row>
    <row r="152" spans="1:3" s="17" customFormat="1">
      <c r="A152" s="17" t="s">
        <v>429</v>
      </c>
      <c r="B152" s="18" t="s">
        <v>430</v>
      </c>
      <c r="C152" s="19" t="s">
        <v>1167</v>
      </c>
    </row>
    <row r="153" spans="1:3" s="17" customFormat="1">
      <c r="A153" s="17" t="s">
        <v>431</v>
      </c>
      <c r="B153" s="18" t="s">
        <v>432</v>
      </c>
      <c r="C153" s="19" t="s">
        <v>1167</v>
      </c>
    </row>
    <row r="154" spans="1:3" s="17" customFormat="1">
      <c r="A154" s="17" t="s">
        <v>433</v>
      </c>
      <c r="B154" s="18" t="s">
        <v>434</v>
      </c>
      <c r="C154" s="19" t="s">
        <v>1167</v>
      </c>
    </row>
    <row r="155" spans="1:3" s="17" customFormat="1">
      <c r="A155" s="17" t="s">
        <v>435</v>
      </c>
      <c r="B155" s="18" t="s">
        <v>436</v>
      </c>
      <c r="C155" s="19" t="s">
        <v>1167</v>
      </c>
    </row>
    <row r="156" spans="1:3" s="17" customFormat="1">
      <c r="A156" s="17" t="s">
        <v>437</v>
      </c>
      <c r="B156" s="18" t="s">
        <v>438</v>
      </c>
      <c r="C156" s="19" t="s">
        <v>1167</v>
      </c>
    </row>
    <row r="157" spans="1:3" s="23" customFormat="1">
      <c r="A157" s="23" t="s">
        <v>439</v>
      </c>
      <c r="B157" s="24" t="s">
        <v>440</v>
      </c>
      <c r="C157" s="25" t="s">
        <v>1173</v>
      </c>
    </row>
    <row r="158" spans="1:3" s="23" customFormat="1">
      <c r="A158" s="23" t="s">
        <v>441</v>
      </c>
      <c r="B158" s="24" t="s">
        <v>442</v>
      </c>
      <c r="C158" s="25" t="s">
        <v>1173</v>
      </c>
    </row>
    <row r="159" spans="1:3" s="23" customFormat="1">
      <c r="A159" s="23" t="s">
        <v>443</v>
      </c>
      <c r="B159" s="24" t="s">
        <v>444</v>
      </c>
      <c r="C159" s="25" t="s">
        <v>1173</v>
      </c>
    </row>
    <row r="160" spans="1:3" s="23" customFormat="1">
      <c r="A160" s="23" t="s">
        <v>445</v>
      </c>
      <c r="B160" s="24" t="s">
        <v>446</v>
      </c>
      <c r="C160" s="25" t="s">
        <v>1173</v>
      </c>
    </row>
    <row r="161" spans="1:3" s="23" customFormat="1">
      <c r="A161" s="23" t="s">
        <v>447</v>
      </c>
      <c r="B161" s="24" t="s">
        <v>448</v>
      </c>
      <c r="C161" s="25" t="s">
        <v>1173</v>
      </c>
    </row>
    <row r="162" spans="1:3" s="23" customFormat="1">
      <c r="A162" s="23" t="s">
        <v>449</v>
      </c>
      <c r="B162" s="24" t="s">
        <v>450</v>
      </c>
      <c r="C162" s="25" t="s">
        <v>1173</v>
      </c>
    </row>
    <row r="163" spans="1:3" s="23" customFormat="1">
      <c r="A163" s="23" t="s">
        <v>451</v>
      </c>
      <c r="B163" s="24" t="s">
        <v>452</v>
      </c>
      <c r="C163" s="25" t="s">
        <v>1173</v>
      </c>
    </row>
    <row r="164" spans="1:3" s="23" customFormat="1">
      <c r="A164" s="23" t="s">
        <v>453</v>
      </c>
      <c r="B164" s="24" t="s">
        <v>454</v>
      </c>
      <c r="C164" s="25" t="s">
        <v>1173</v>
      </c>
    </row>
    <row r="165" spans="1:3" s="17" customFormat="1">
      <c r="A165" s="17" t="s">
        <v>455</v>
      </c>
      <c r="B165" s="18" t="s">
        <v>456</v>
      </c>
      <c r="C165" s="19" t="s">
        <v>1167</v>
      </c>
    </row>
    <row r="166" spans="1:3" s="17" customFormat="1">
      <c r="A166" s="17" t="s">
        <v>457</v>
      </c>
      <c r="B166" s="18" t="s">
        <v>458</v>
      </c>
      <c r="C166" s="19" t="s">
        <v>1167</v>
      </c>
    </row>
    <row r="167" spans="1:3" s="17" customFormat="1">
      <c r="A167" s="17" t="s">
        <v>459</v>
      </c>
      <c r="B167" s="18" t="s">
        <v>460</v>
      </c>
      <c r="C167" s="19" t="s">
        <v>1167</v>
      </c>
    </row>
    <row r="168" spans="1:3" s="17" customFormat="1">
      <c r="A168" s="17" t="s">
        <v>461</v>
      </c>
      <c r="B168" s="18" t="s">
        <v>462</v>
      </c>
      <c r="C168" s="19" t="s">
        <v>1167</v>
      </c>
    </row>
    <row r="169" spans="1:3" s="17" customFormat="1">
      <c r="A169" s="17" t="s">
        <v>463</v>
      </c>
      <c r="B169" s="18" t="s">
        <v>464</v>
      </c>
      <c r="C169" s="19" t="s">
        <v>1167</v>
      </c>
    </row>
    <row r="170" spans="1:3" s="38" customFormat="1">
      <c r="A170" s="38" t="s">
        <v>465</v>
      </c>
      <c r="B170" s="39" t="s">
        <v>466</v>
      </c>
      <c r="C170" s="40" t="s">
        <v>1200</v>
      </c>
    </row>
    <row r="171" spans="1:3" s="38" customFormat="1">
      <c r="A171" s="38" t="s">
        <v>467</v>
      </c>
      <c r="B171" s="39" t="s">
        <v>468</v>
      </c>
      <c r="C171" s="40" t="s">
        <v>1200</v>
      </c>
    </row>
    <row r="172" spans="1:3" s="38" customFormat="1">
      <c r="A172" s="38" t="s">
        <v>469</v>
      </c>
      <c r="B172" s="39" t="s">
        <v>470</v>
      </c>
      <c r="C172" s="40" t="s">
        <v>1200</v>
      </c>
    </row>
    <row r="173" spans="1:3" s="38" customFormat="1">
      <c r="A173" s="38" t="s">
        <v>471</v>
      </c>
      <c r="B173" s="39" t="s">
        <v>472</v>
      </c>
      <c r="C173" s="40" t="s">
        <v>1200</v>
      </c>
    </row>
    <row r="174" spans="1:3" s="38" customFormat="1">
      <c r="A174" s="38" t="s">
        <v>473</v>
      </c>
      <c r="B174" s="39" t="s">
        <v>474</v>
      </c>
      <c r="C174" s="40" t="s">
        <v>1200</v>
      </c>
    </row>
    <row r="175" spans="1:3" s="17" customFormat="1">
      <c r="A175" s="17" t="s">
        <v>475</v>
      </c>
      <c r="B175" s="18" t="s">
        <v>476</v>
      </c>
      <c r="C175" s="19" t="s">
        <v>1167</v>
      </c>
    </row>
    <row r="176" spans="1:3" s="17" customFormat="1">
      <c r="A176" s="17" t="s">
        <v>477</v>
      </c>
      <c r="B176" s="18" t="s">
        <v>478</v>
      </c>
      <c r="C176" s="19" t="s">
        <v>1167</v>
      </c>
    </row>
    <row r="177" spans="1:3" s="17" customFormat="1">
      <c r="A177" s="17" t="s">
        <v>479</v>
      </c>
      <c r="B177" s="18" t="s">
        <v>480</v>
      </c>
      <c r="C177" s="19" t="s">
        <v>1167</v>
      </c>
    </row>
    <row r="178" spans="1:3" s="17" customFormat="1">
      <c r="A178" s="17" t="s">
        <v>481</v>
      </c>
      <c r="B178" s="18" t="s">
        <v>482</v>
      </c>
      <c r="C178" s="19" t="s">
        <v>1167</v>
      </c>
    </row>
    <row r="179" spans="1:3" s="17" customFormat="1">
      <c r="A179" s="17" t="s">
        <v>483</v>
      </c>
      <c r="B179" s="18" t="s">
        <v>484</v>
      </c>
      <c r="C179" s="19" t="s">
        <v>1167</v>
      </c>
    </row>
    <row r="180" spans="1:3" s="17" customFormat="1">
      <c r="A180" s="17" t="s">
        <v>485</v>
      </c>
      <c r="B180" s="18" t="s">
        <v>486</v>
      </c>
      <c r="C180" s="19" t="s">
        <v>1167</v>
      </c>
    </row>
    <row r="181" spans="1:3" s="17" customFormat="1">
      <c r="A181" s="17" t="s">
        <v>487</v>
      </c>
      <c r="B181" s="18" t="s">
        <v>488</v>
      </c>
      <c r="C181" s="19" t="s">
        <v>1167</v>
      </c>
    </row>
    <row r="182" spans="1:3" s="17" customFormat="1">
      <c r="A182" s="17" t="s">
        <v>489</v>
      </c>
      <c r="B182" s="18" t="s">
        <v>490</v>
      </c>
      <c r="C182" s="19" t="s">
        <v>1167</v>
      </c>
    </row>
    <row r="183" spans="1:3" s="17" customFormat="1">
      <c r="A183" s="17" t="s">
        <v>491</v>
      </c>
      <c r="B183" s="18" t="s">
        <v>492</v>
      </c>
      <c r="C183" s="19" t="s">
        <v>1167</v>
      </c>
    </row>
    <row r="184" spans="1:3" s="17" customFormat="1">
      <c r="A184" s="17" t="s">
        <v>493</v>
      </c>
      <c r="B184" s="18" t="s">
        <v>494</v>
      </c>
      <c r="C184" s="19" t="s">
        <v>1167</v>
      </c>
    </row>
    <row r="185" spans="1:3" s="17" customFormat="1">
      <c r="A185" s="17" t="s">
        <v>495</v>
      </c>
      <c r="B185" s="18" t="s">
        <v>496</v>
      </c>
      <c r="C185" s="19" t="s">
        <v>1167</v>
      </c>
    </row>
    <row r="186" spans="1:3" s="17" customFormat="1">
      <c r="A186" s="17" t="s">
        <v>497</v>
      </c>
      <c r="B186" s="18" t="s">
        <v>498</v>
      </c>
      <c r="C186" s="19" t="s">
        <v>1167</v>
      </c>
    </row>
    <row r="187" spans="1:3" s="17" customFormat="1">
      <c r="A187" s="17" t="s">
        <v>499</v>
      </c>
      <c r="B187" s="18" t="s">
        <v>500</v>
      </c>
      <c r="C187" s="19" t="s">
        <v>1167</v>
      </c>
    </row>
    <row r="188" spans="1:3" s="66" customFormat="1">
      <c r="A188" s="66" t="s">
        <v>501</v>
      </c>
      <c r="B188" s="15" t="s">
        <v>502</v>
      </c>
      <c r="C188" s="16" t="s">
        <v>1201</v>
      </c>
    </row>
    <row r="189" spans="1:3" s="66" customFormat="1">
      <c r="A189" s="66" t="s">
        <v>503</v>
      </c>
      <c r="B189" s="15" t="s">
        <v>504</v>
      </c>
      <c r="C189" s="16" t="s">
        <v>1201</v>
      </c>
    </row>
    <row r="190" spans="1:3" s="66" customFormat="1">
      <c r="A190" s="66" t="s">
        <v>505</v>
      </c>
      <c r="B190" s="15" t="s">
        <v>506</v>
      </c>
      <c r="C190" s="16" t="s">
        <v>1201</v>
      </c>
    </row>
    <row r="191" spans="1:3" s="66" customFormat="1">
      <c r="A191" s="66" t="s">
        <v>507</v>
      </c>
      <c r="B191" s="15" t="s">
        <v>508</v>
      </c>
      <c r="C191" s="16" t="s">
        <v>1201</v>
      </c>
    </row>
    <row r="192" spans="1:3">
      <c r="A192" t="s">
        <v>509</v>
      </c>
      <c r="B192" s="2" t="s">
        <v>510</v>
      </c>
      <c r="C192" s="6" t="s">
        <v>1169</v>
      </c>
    </row>
    <row r="193" spans="1:3" s="56" customFormat="1">
      <c r="A193" s="56" t="s">
        <v>511</v>
      </c>
      <c r="B193" s="57" t="s">
        <v>512</v>
      </c>
      <c r="C193" s="58" t="s">
        <v>1170</v>
      </c>
    </row>
    <row r="194" spans="1:3" s="56" customFormat="1">
      <c r="A194" s="56" t="s">
        <v>513</v>
      </c>
      <c r="B194" s="57" t="s">
        <v>514</v>
      </c>
      <c r="C194" s="58" t="s">
        <v>1170</v>
      </c>
    </row>
    <row r="195" spans="1:3" s="56" customFormat="1">
      <c r="A195" s="56" t="s">
        <v>515</v>
      </c>
      <c r="B195" s="57" t="s">
        <v>516</v>
      </c>
      <c r="C195" s="58" t="s">
        <v>1170</v>
      </c>
    </row>
    <row r="196" spans="1:3" s="56" customFormat="1">
      <c r="A196" s="56" t="s">
        <v>517</v>
      </c>
      <c r="B196" s="57" t="s">
        <v>518</v>
      </c>
      <c r="C196" s="58" t="s">
        <v>1170</v>
      </c>
    </row>
    <row r="197" spans="1:3" s="56" customFormat="1">
      <c r="A197" s="56" t="s">
        <v>519</v>
      </c>
      <c r="B197" s="57" t="s">
        <v>520</v>
      </c>
      <c r="C197" s="58" t="s">
        <v>1170</v>
      </c>
    </row>
    <row r="198" spans="1:3" s="56" customFormat="1">
      <c r="A198" s="56" t="s">
        <v>521</v>
      </c>
      <c r="B198" s="57" t="s">
        <v>522</v>
      </c>
      <c r="C198" s="58" t="s">
        <v>1170</v>
      </c>
    </row>
    <row r="199" spans="1:3" s="56" customFormat="1">
      <c r="A199" s="56" t="s">
        <v>523</v>
      </c>
      <c r="B199" s="57" t="s">
        <v>524</v>
      </c>
      <c r="C199" s="58" t="s">
        <v>1170</v>
      </c>
    </row>
    <row r="200" spans="1:3" s="56" customFormat="1">
      <c r="A200" s="56" t="s">
        <v>525</v>
      </c>
      <c r="B200" s="57" t="s">
        <v>526</v>
      </c>
      <c r="C200" s="58" t="s">
        <v>1170</v>
      </c>
    </row>
    <row r="201" spans="1:3" s="56" customFormat="1">
      <c r="A201" s="56" t="s">
        <v>527</v>
      </c>
      <c r="B201" s="57" t="s">
        <v>528</v>
      </c>
      <c r="C201" s="58" t="s">
        <v>1170</v>
      </c>
    </row>
    <row r="202" spans="1:3" s="56" customFormat="1">
      <c r="A202" s="56" t="s">
        <v>529</v>
      </c>
      <c r="B202" s="57" t="s">
        <v>530</v>
      </c>
      <c r="C202" s="58" t="s">
        <v>1170</v>
      </c>
    </row>
    <row r="203" spans="1:3">
      <c r="A203" t="s">
        <v>531</v>
      </c>
      <c r="B203" s="53" t="s">
        <v>532</v>
      </c>
      <c r="C203" s="54" t="s">
        <v>1166</v>
      </c>
    </row>
    <row r="204" spans="1:3">
      <c r="A204" t="s">
        <v>533</v>
      </c>
      <c r="B204" s="53" t="s">
        <v>534</v>
      </c>
      <c r="C204" s="54" t="s">
        <v>1166</v>
      </c>
    </row>
    <row r="205" spans="1:3">
      <c r="A205" t="s">
        <v>535</v>
      </c>
      <c r="B205" s="53" t="s">
        <v>536</v>
      </c>
      <c r="C205" s="54" t="s">
        <v>1166</v>
      </c>
    </row>
    <row r="206" spans="1:3">
      <c r="A206" t="s">
        <v>537</v>
      </c>
      <c r="B206" s="53" t="s">
        <v>538</v>
      </c>
      <c r="C206" s="54" t="s">
        <v>1166</v>
      </c>
    </row>
    <row r="207" spans="1:3">
      <c r="A207" t="s">
        <v>539</v>
      </c>
      <c r="B207" s="53" t="s">
        <v>540</v>
      </c>
      <c r="C207" s="54" t="s">
        <v>1166</v>
      </c>
    </row>
    <row r="208" spans="1:3">
      <c r="A208" t="s">
        <v>541</v>
      </c>
      <c r="B208" s="53" t="s">
        <v>542</v>
      </c>
      <c r="C208" s="54" t="s">
        <v>1166</v>
      </c>
    </row>
    <row r="209" spans="1:3" s="17" customFormat="1">
      <c r="A209" s="17" t="s">
        <v>543</v>
      </c>
      <c r="B209" s="18" t="s">
        <v>544</v>
      </c>
      <c r="C209" s="19" t="s">
        <v>1167</v>
      </c>
    </row>
    <row r="210" spans="1:3" s="17" customFormat="1">
      <c r="A210" s="17" t="s">
        <v>545</v>
      </c>
      <c r="B210" s="18" t="s">
        <v>546</v>
      </c>
      <c r="C210" s="19" t="s">
        <v>1167</v>
      </c>
    </row>
    <row r="211" spans="1:3" s="17" customFormat="1">
      <c r="A211" s="17" t="s">
        <v>547</v>
      </c>
      <c r="B211" s="18" t="s">
        <v>548</v>
      </c>
      <c r="C211" s="19" t="s">
        <v>1167</v>
      </c>
    </row>
    <row r="212" spans="1:3" s="17" customFormat="1">
      <c r="A212" s="17" t="s">
        <v>549</v>
      </c>
      <c r="B212" s="18" t="s">
        <v>550</v>
      </c>
      <c r="C212" s="19" t="s">
        <v>1167</v>
      </c>
    </row>
    <row r="213" spans="1:3" s="17" customFormat="1">
      <c r="A213" s="17" t="s">
        <v>551</v>
      </c>
      <c r="B213" s="18" t="s">
        <v>552</v>
      </c>
      <c r="C213" s="19" t="s">
        <v>1167</v>
      </c>
    </row>
    <row r="214" spans="1:3" s="17" customFormat="1">
      <c r="A214" s="17" t="s">
        <v>553</v>
      </c>
      <c r="B214" s="18" t="s">
        <v>554</v>
      </c>
      <c r="C214" s="19" t="s">
        <v>1167</v>
      </c>
    </row>
    <row r="215" spans="1:3">
      <c r="A215" t="s">
        <v>555</v>
      </c>
      <c r="B215" s="53" t="s">
        <v>556</v>
      </c>
      <c r="C215" s="54" t="s">
        <v>1166</v>
      </c>
    </row>
    <row r="216" spans="1:3">
      <c r="A216" t="s">
        <v>557</v>
      </c>
      <c r="B216" s="53" t="s">
        <v>558</v>
      </c>
      <c r="C216" s="54" t="s">
        <v>1166</v>
      </c>
    </row>
    <row r="217" spans="1:3">
      <c r="A217" t="s">
        <v>559</v>
      </c>
      <c r="B217" s="53" t="s">
        <v>560</v>
      </c>
      <c r="C217" s="54" t="s">
        <v>1166</v>
      </c>
    </row>
    <row r="218" spans="1:3">
      <c r="A218" t="s">
        <v>561</v>
      </c>
      <c r="B218" s="53" t="s">
        <v>562</v>
      </c>
      <c r="C218" s="54" t="s">
        <v>1166</v>
      </c>
    </row>
    <row r="219" spans="1:3">
      <c r="A219" t="s">
        <v>563</v>
      </c>
      <c r="B219" s="53" t="s">
        <v>564</v>
      </c>
      <c r="C219" s="54" t="s">
        <v>1166</v>
      </c>
    </row>
    <row r="220" spans="1:3">
      <c r="A220" t="s">
        <v>565</v>
      </c>
      <c r="B220" s="53" t="s">
        <v>566</v>
      </c>
      <c r="C220" s="54" t="s">
        <v>1166</v>
      </c>
    </row>
    <row r="221" spans="1:3">
      <c r="A221" t="s">
        <v>567</v>
      </c>
      <c r="B221" s="53" t="s">
        <v>568</v>
      </c>
      <c r="C221" s="54" t="s">
        <v>1166</v>
      </c>
    </row>
    <row r="222" spans="1:3">
      <c r="A222" t="s">
        <v>569</v>
      </c>
      <c r="B222" s="53" t="s">
        <v>570</v>
      </c>
      <c r="C222" s="54" t="s">
        <v>1166</v>
      </c>
    </row>
    <row r="223" spans="1:3">
      <c r="A223" t="s">
        <v>571</v>
      </c>
      <c r="B223" s="53" t="s">
        <v>572</v>
      </c>
      <c r="C223" s="54" t="s">
        <v>1166</v>
      </c>
    </row>
    <row r="224" spans="1:3">
      <c r="A224" t="s">
        <v>573</v>
      </c>
      <c r="B224" s="53" t="s">
        <v>574</v>
      </c>
      <c r="C224" s="54" t="s">
        <v>1166</v>
      </c>
    </row>
    <row r="225" spans="1:3" s="17" customFormat="1">
      <c r="A225" s="17" t="s">
        <v>575</v>
      </c>
      <c r="B225" s="55" t="s">
        <v>576</v>
      </c>
      <c r="C225" s="19" t="s">
        <v>1167</v>
      </c>
    </row>
    <row r="226" spans="1:3" s="17" customFormat="1">
      <c r="A226" s="17" t="s">
        <v>577</v>
      </c>
      <c r="B226" s="18" t="s">
        <v>578</v>
      </c>
      <c r="C226" s="19" t="s">
        <v>1167</v>
      </c>
    </row>
    <row r="227" spans="1:3" s="17" customFormat="1">
      <c r="A227" s="17" t="s">
        <v>579</v>
      </c>
      <c r="B227" s="18" t="s">
        <v>580</v>
      </c>
      <c r="C227" s="19" t="s">
        <v>1167</v>
      </c>
    </row>
    <row r="228" spans="1:3" s="17" customFormat="1">
      <c r="A228" s="17" t="s">
        <v>581</v>
      </c>
      <c r="B228" s="18" t="s">
        <v>582</v>
      </c>
      <c r="C228" s="19" t="s">
        <v>1167</v>
      </c>
    </row>
    <row r="229" spans="1:3" s="17" customFormat="1">
      <c r="A229" s="17" t="s">
        <v>583</v>
      </c>
      <c r="B229" s="18" t="s">
        <v>584</v>
      </c>
      <c r="C229" s="19" t="s">
        <v>1167</v>
      </c>
    </row>
    <row r="230" spans="1:3" s="17" customFormat="1">
      <c r="A230" s="17" t="s">
        <v>585</v>
      </c>
      <c r="B230" s="18" t="s">
        <v>586</v>
      </c>
      <c r="C230" s="19" t="s">
        <v>1167</v>
      </c>
    </row>
    <row r="231" spans="1:3" s="17" customFormat="1">
      <c r="A231" s="17" t="s">
        <v>587</v>
      </c>
      <c r="B231" s="18" t="s">
        <v>588</v>
      </c>
      <c r="C231" s="19" t="s">
        <v>1167</v>
      </c>
    </row>
    <row r="232" spans="1:3" s="17" customFormat="1">
      <c r="A232" s="17" t="s">
        <v>589</v>
      </c>
      <c r="B232" s="18" t="s">
        <v>590</v>
      </c>
      <c r="C232" s="19" t="s">
        <v>1167</v>
      </c>
    </row>
    <row r="233" spans="1:3" s="17" customFormat="1">
      <c r="A233" s="17" t="s">
        <v>591</v>
      </c>
      <c r="B233" s="18" t="s">
        <v>592</v>
      </c>
      <c r="C233" s="19" t="s">
        <v>1167</v>
      </c>
    </row>
    <row r="234" spans="1:3" s="17" customFormat="1">
      <c r="A234" s="17" t="s">
        <v>593</v>
      </c>
      <c r="B234" s="18" t="s">
        <v>594</v>
      </c>
      <c r="C234" s="19" t="s">
        <v>1167</v>
      </c>
    </row>
    <row r="235" spans="1:3" s="17" customFormat="1">
      <c r="A235" s="17" t="s">
        <v>595</v>
      </c>
      <c r="B235" s="18" t="s">
        <v>596</v>
      </c>
      <c r="C235" s="19" t="s">
        <v>1167</v>
      </c>
    </row>
    <row r="236" spans="1:3" s="17" customFormat="1">
      <c r="A236" s="17" t="s">
        <v>597</v>
      </c>
      <c r="B236" s="18" t="s">
        <v>598</v>
      </c>
      <c r="C236" s="19" t="s">
        <v>1167</v>
      </c>
    </row>
    <row r="237" spans="1:3" s="17" customFormat="1">
      <c r="A237" s="17" t="s">
        <v>599</v>
      </c>
      <c r="B237" s="18" t="s">
        <v>600</v>
      </c>
      <c r="C237" s="19" t="s">
        <v>1167</v>
      </c>
    </row>
    <row r="238" spans="1:3" s="17" customFormat="1">
      <c r="A238" s="17" t="s">
        <v>601</v>
      </c>
      <c r="B238" s="18" t="s">
        <v>602</v>
      </c>
      <c r="C238" s="19" t="s">
        <v>1167</v>
      </c>
    </row>
    <row r="239" spans="1:3" s="17" customFormat="1">
      <c r="A239" s="17" t="s">
        <v>603</v>
      </c>
      <c r="B239" s="18" t="s">
        <v>604</v>
      </c>
      <c r="C239" s="19" t="s">
        <v>1167</v>
      </c>
    </row>
    <row r="240" spans="1:3" s="17" customFormat="1">
      <c r="A240" s="17" t="s">
        <v>605</v>
      </c>
      <c r="B240" s="18" t="s">
        <v>606</v>
      </c>
      <c r="C240" s="19" t="s">
        <v>1167</v>
      </c>
    </row>
    <row r="241" spans="1:3" s="17" customFormat="1">
      <c r="A241" s="17" t="s">
        <v>607</v>
      </c>
      <c r="B241" s="18" t="s">
        <v>608</v>
      </c>
      <c r="C241" s="19" t="s">
        <v>1167</v>
      </c>
    </row>
    <row r="242" spans="1:3" s="17" customFormat="1">
      <c r="A242" s="17" t="s">
        <v>609</v>
      </c>
      <c r="B242" s="18" t="s">
        <v>610</v>
      </c>
      <c r="C242" s="19" t="s">
        <v>1167</v>
      </c>
    </row>
    <row r="243" spans="1:3" s="17" customFormat="1">
      <c r="A243" s="17" t="s">
        <v>611</v>
      </c>
      <c r="B243" s="18" t="s">
        <v>612</v>
      </c>
      <c r="C243" s="19" t="s">
        <v>1167</v>
      </c>
    </row>
    <row r="244" spans="1:3" s="17" customFormat="1">
      <c r="A244" s="17" t="s">
        <v>613</v>
      </c>
      <c r="B244" s="18" t="s">
        <v>614</v>
      </c>
      <c r="C244" s="19" t="s">
        <v>1167</v>
      </c>
    </row>
    <row r="245" spans="1:3" s="17" customFormat="1">
      <c r="A245" s="17" t="s">
        <v>615</v>
      </c>
      <c r="B245" s="18" t="s">
        <v>616</v>
      </c>
      <c r="C245" s="19" t="s">
        <v>1167</v>
      </c>
    </row>
    <row r="246" spans="1:3" s="17" customFormat="1">
      <c r="A246" s="17" t="s">
        <v>617</v>
      </c>
      <c r="B246" s="18" t="s">
        <v>618</v>
      </c>
      <c r="C246" s="19" t="s">
        <v>1167</v>
      </c>
    </row>
    <row r="247" spans="1:3" s="17" customFormat="1">
      <c r="A247" s="17" t="s">
        <v>619</v>
      </c>
      <c r="B247" s="18" t="s">
        <v>620</v>
      </c>
      <c r="C247" s="19" t="s">
        <v>1167</v>
      </c>
    </row>
    <row r="248" spans="1:3" s="17" customFormat="1">
      <c r="A248" s="17" t="s">
        <v>621</v>
      </c>
      <c r="B248" s="18" t="s">
        <v>622</v>
      </c>
      <c r="C248" s="19" t="s">
        <v>1167</v>
      </c>
    </row>
    <row r="249" spans="1:3" s="17" customFormat="1">
      <c r="A249" s="17" t="s">
        <v>623</v>
      </c>
      <c r="B249" s="18" t="s">
        <v>624</v>
      </c>
      <c r="C249" s="19" t="s">
        <v>1167</v>
      </c>
    </row>
    <row r="250" spans="1:3" s="17" customFormat="1">
      <c r="A250" s="17" t="s">
        <v>625</v>
      </c>
      <c r="B250" s="18" t="s">
        <v>626</v>
      </c>
      <c r="C250" s="19" t="s">
        <v>1167</v>
      </c>
    </row>
    <row r="251" spans="1:3" s="17" customFormat="1">
      <c r="A251" s="17" t="s">
        <v>627</v>
      </c>
      <c r="B251" s="18" t="s">
        <v>628</v>
      </c>
      <c r="C251" s="19" t="s">
        <v>1167</v>
      </c>
    </row>
    <row r="252" spans="1:3" s="17" customFormat="1">
      <c r="A252" s="17" t="s">
        <v>629</v>
      </c>
      <c r="B252" s="18" t="s">
        <v>630</v>
      </c>
      <c r="C252" s="19" t="s">
        <v>1167</v>
      </c>
    </row>
    <row r="253" spans="1:3" s="17" customFormat="1">
      <c r="A253" s="17" t="s">
        <v>631</v>
      </c>
      <c r="B253" s="18" t="s">
        <v>632</v>
      </c>
      <c r="C253" s="19" t="s">
        <v>1167</v>
      </c>
    </row>
    <row r="254" spans="1:3" s="17" customFormat="1">
      <c r="A254" s="17" t="s">
        <v>633</v>
      </c>
      <c r="B254" s="18" t="s">
        <v>634</v>
      </c>
      <c r="C254" s="19" t="s">
        <v>1167</v>
      </c>
    </row>
    <row r="255" spans="1:3" s="17" customFormat="1">
      <c r="A255" s="17" t="s">
        <v>635</v>
      </c>
      <c r="B255" s="18" t="s">
        <v>636</v>
      </c>
      <c r="C255" s="19" t="s">
        <v>1167</v>
      </c>
    </row>
    <row r="256" spans="1:3" s="50" customFormat="1">
      <c r="A256" s="50" t="s">
        <v>637</v>
      </c>
      <c r="B256" s="51" t="s">
        <v>638</v>
      </c>
      <c r="C256" s="52" t="s">
        <v>1171</v>
      </c>
    </row>
    <row r="257" spans="1:3" s="50" customFormat="1">
      <c r="A257" s="50" t="s">
        <v>639</v>
      </c>
      <c r="B257" s="51" t="s">
        <v>640</v>
      </c>
      <c r="C257" s="52" t="s">
        <v>1171</v>
      </c>
    </row>
    <row r="258" spans="1:3" s="50" customFormat="1">
      <c r="A258" s="50" t="s">
        <v>641</v>
      </c>
      <c r="B258" s="51" t="s">
        <v>642</v>
      </c>
      <c r="C258" s="52" t="s">
        <v>1171</v>
      </c>
    </row>
    <row r="259" spans="1:3" s="50" customFormat="1">
      <c r="A259" s="50" t="s">
        <v>643</v>
      </c>
      <c r="B259" s="51" t="s">
        <v>644</v>
      </c>
      <c r="C259" s="52" t="s">
        <v>1171</v>
      </c>
    </row>
    <row r="260" spans="1:3" s="50" customFormat="1">
      <c r="A260" s="50" t="s">
        <v>645</v>
      </c>
      <c r="B260" s="51" t="s">
        <v>646</v>
      </c>
      <c r="C260" s="52" t="s">
        <v>1171</v>
      </c>
    </row>
    <row r="261" spans="1:3" s="50" customFormat="1">
      <c r="A261" s="50" t="s">
        <v>647</v>
      </c>
      <c r="B261" s="51" t="s">
        <v>648</v>
      </c>
      <c r="C261" s="52" t="s">
        <v>1171</v>
      </c>
    </row>
    <row r="262" spans="1:3" s="50" customFormat="1">
      <c r="A262" s="50" t="s">
        <v>649</v>
      </c>
      <c r="B262" s="51" t="s">
        <v>650</v>
      </c>
      <c r="C262" s="52" t="s">
        <v>1171</v>
      </c>
    </row>
    <row r="263" spans="1:3" s="50" customFormat="1">
      <c r="A263" s="50" t="s">
        <v>651</v>
      </c>
      <c r="B263" s="51" t="s">
        <v>652</v>
      </c>
      <c r="C263" s="52" t="s">
        <v>1171</v>
      </c>
    </row>
    <row r="264" spans="1:3" s="50" customFormat="1">
      <c r="A264" s="50" t="s">
        <v>653</v>
      </c>
      <c r="B264" s="51" t="s">
        <v>654</v>
      </c>
      <c r="C264" s="52" t="s">
        <v>1171</v>
      </c>
    </row>
    <row r="265" spans="1:3" s="50" customFormat="1">
      <c r="A265" s="50" t="s">
        <v>655</v>
      </c>
      <c r="B265" s="51" t="s">
        <v>656</v>
      </c>
      <c r="C265" s="52" t="s">
        <v>1171</v>
      </c>
    </row>
    <row r="266" spans="1:3" s="50" customFormat="1">
      <c r="A266" s="50" t="s">
        <v>657</v>
      </c>
      <c r="B266" s="51" t="s">
        <v>658</v>
      </c>
      <c r="C266" s="52" t="s">
        <v>1171</v>
      </c>
    </row>
    <row r="267" spans="1:3" s="50" customFormat="1">
      <c r="A267" s="50" t="s">
        <v>659</v>
      </c>
      <c r="B267" s="51" t="s">
        <v>660</v>
      </c>
      <c r="C267" s="52" t="s">
        <v>1171</v>
      </c>
    </row>
    <row r="268" spans="1:3" s="50" customFormat="1">
      <c r="A268" s="50" t="s">
        <v>661</v>
      </c>
      <c r="B268" s="51" t="s">
        <v>662</v>
      </c>
      <c r="C268" s="52" t="s">
        <v>1171</v>
      </c>
    </row>
    <row r="269" spans="1:3" s="50" customFormat="1">
      <c r="A269" s="50" t="s">
        <v>663</v>
      </c>
      <c r="B269" s="51" t="s">
        <v>664</v>
      </c>
      <c r="C269" s="52" t="s">
        <v>1171</v>
      </c>
    </row>
    <row r="270" spans="1:3" s="50" customFormat="1">
      <c r="A270" s="50" t="s">
        <v>665</v>
      </c>
      <c r="B270" s="51" t="s">
        <v>666</v>
      </c>
      <c r="C270" s="52" t="s">
        <v>1171</v>
      </c>
    </row>
    <row r="271" spans="1:3" s="50" customFormat="1">
      <c r="A271" s="50" t="s">
        <v>667</v>
      </c>
      <c r="B271" s="51" t="s">
        <v>668</v>
      </c>
      <c r="C271" s="52" t="s">
        <v>1171</v>
      </c>
    </row>
    <row r="272" spans="1:3" s="50" customFormat="1">
      <c r="A272" s="50" t="s">
        <v>669</v>
      </c>
      <c r="B272" s="51" t="s">
        <v>670</v>
      </c>
      <c r="C272" s="52" t="s">
        <v>1171</v>
      </c>
    </row>
    <row r="273" spans="1:3" s="50" customFormat="1">
      <c r="A273" s="50" t="s">
        <v>671</v>
      </c>
      <c r="B273" s="51" t="s">
        <v>672</v>
      </c>
      <c r="C273" s="52" t="s">
        <v>1171</v>
      </c>
    </row>
    <row r="274" spans="1:3" s="50" customFormat="1">
      <c r="A274" s="50" t="s">
        <v>673</v>
      </c>
      <c r="B274" s="51" t="s">
        <v>674</v>
      </c>
      <c r="C274" s="52" t="s">
        <v>1171</v>
      </c>
    </row>
    <row r="275" spans="1:3" s="50" customFormat="1">
      <c r="A275" s="50" t="s">
        <v>675</v>
      </c>
      <c r="B275" s="51" t="s">
        <v>676</v>
      </c>
      <c r="C275" s="52" t="s">
        <v>1171</v>
      </c>
    </row>
    <row r="276" spans="1:3" s="50" customFormat="1">
      <c r="A276" s="50" t="s">
        <v>677</v>
      </c>
      <c r="B276" s="51" t="s">
        <v>678</v>
      </c>
      <c r="C276" s="52" t="s">
        <v>1171</v>
      </c>
    </row>
    <row r="277" spans="1:3" s="50" customFormat="1">
      <c r="A277" s="50" t="s">
        <v>679</v>
      </c>
      <c r="B277" s="51" t="s">
        <v>680</v>
      </c>
      <c r="C277" s="52" t="s">
        <v>1171</v>
      </c>
    </row>
    <row r="278" spans="1:3" s="50" customFormat="1">
      <c r="A278" s="50" t="s">
        <v>681</v>
      </c>
      <c r="B278" s="51" t="s">
        <v>682</v>
      </c>
      <c r="C278" s="52" t="s">
        <v>1171</v>
      </c>
    </row>
    <row r="279" spans="1:3" s="50" customFormat="1">
      <c r="A279" s="50" t="s">
        <v>683</v>
      </c>
      <c r="B279" s="51" t="s">
        <v>684</v>
      </c>
      <c r="C279" s="52" t="s">
        <v>1171</v>
      </c>
    </row>
    <row r="280" spans="1:3" s="50" customFormat="1">
      <c r="A280" s="50" t="s">
        <v>685</v>
      </c>
      <c r="B280" s="51" t="s">
        <v>686</v>
      </c>
      <c r="C280" s="52" t="s">
        <v>1171</v>
      </c>
    </row>
    <row r="281" spans="1:3" s="20" customFormat="1">
      <c r="A281" s="20" t="s">
        <v>687</v>
      </c>
      <c r="B281" s="21" t="s">
        <v>688</v>
      </c>
      <c r="C281" s="22" t="s">
        <v>1196</v>
      </c>
    </row>
    <row r="282" spans="1:3" s="20" customFormat="1">
      <c r="A282" s="20" t="s">
        <v>689</v>
      </c>
      <c r="B282" s="21" t="s">
        <v>690</v>
      </c>
      <c r="C282" s="22" t="s">
        <v>1196</v>
      </c>
    </row>
    <row r="283" spans="1:3" s="20" customFormat="1">
      <c r="A283" s="20" t="s">
        <v>691</v>
      </c>
      <c r="B283" s="21" t="s">
        <v>692</v>
      </c>
      <c r="C283" s="22" t="s">
        <v>1196</v>
      </c>
    </row>
    <row r="284" spans="1:3" s="20" customFormat="1">
      <c r="A284" s="20" t="s">
        <v>693</v>
      </c>
      <c r="B284" s="21" t="s">
        <v>694</v>
      </c>
      <c r="C284" s="22" t="s">
        <v>1196</v>
      </c>
    </row>
    <row r="285" spans="1:3" s="20" customFormat="1">
      <c r="A285" s="20" t="s">
        <v>695</v>
      </c>
      <c r="B285" s="21" t="s">
        <v>696</v>
      </c>
      <c r="C285" s="22" t="s">
        <v>1196</v>
      </c>
    </row>
    <row r="286" spans="1:3" s="20" customFormat="1">
      <c r="A286" s="20" t="s">
        <v>697</v>
      </c>
      <c r="B286" s="21" t="s">
        <v>698</v>
      </c>
      <c r="C286" s="22" t="s">
        <v>1196</v>
      </c>
    </row>
    <row r="287" spans="1:3" s="20" customFormat="1">
      <c r="A287" s="20" t="s">
        <v>699</v>
      </c>
      <c r="B287" s="21" t="s">
        <v>700</v>
      </c>
      <c r="C287" s="22" t="s">
        <v>1196</v>
      </c>
    </row>
    <row r="288" spans="1:3" s="20" customFormat="1">
      <c r="A288" s="20" t="s">
        <v>701</v>
      </c>
      <c r="B288" s="21" t="s">
        <v>702</v>
      </c>
      <c r="C288" s="22" t="s">
        <v>1196</v>
      </c>
    </row>
    <row r="289" spans="1:3" s="20" customFormat="1">
      <c r="A289" s="20" t="s">
        <v>703</v>
      </c>
      <c r="B289" s="21" t="s">
        <v>704</v>
      </c>
      <c r="C289" s="22" t="s">
        <v>1196</v>
      </c>
    </row>
    <row r="290" spans="1:3" s="20" customFormat="1">
      <c r="A290" s="20" t="s">
        <v>705</v>
      </c>
      <c r="B290" s="21" t="s">
        <v>706</v>
      </c>
      <c r="C290" s="22" t="s">
        <v>1196</v>
      </c>
    </row>
    <row r="291" spans="1:3">
      <c r="A291" t="s">
        <v>707</v>
      </c>
      <c r="B291" s="1" t="s">
        <v>708</v>
      </c>
      <c r="C291" s="6" t="s">
        <v>1202</v>
      </c>
    </row>
    <row r="292" spans="1:3">
      <c r="A292" t="s">
        <v>709</v>
      </c>
      <c r="B292" s="1" t="s">
        <v>710</v>
      </c>
      <c r="C292" s="6" t="s">
        <v>1203</v>
      </c>
    </row>
    <row r="293" spans="1:3">
      <c r="A293" t="s">
        <v>711</v>
      </c>
      <c r="B293" s="1" t="s">
        <v>712</v>
      </c>
      <c r="C293" s="6" t="s">
        <v>1203</v>
      </c>
    </row>
    <row r="294" spans="1:3">
      <c r="A294" t="s">
        <v>713</v>
      </c>
      <c r="B294" s="1" t="s">
        <v>714</v>
      </c>
      <c r="C294" s="6" t="s">
        <v>1203</v>
      </c>
    </row>
    <row r="295" spans="1:3" s="17" customFormat="1">
      <c r="A295" s="17" t="s">
        <v>715</v>
      </c>
      <c r="B295" s="18" t="s">
        <v>716</v>
      </c>
      <c r="C295" s="19" t="s">
        <v>1167</v>
      </c>
    </row>
    <row r="296" spans="1:3" s="17" customFormat="1">
      <c r="A296" s="17" t="s">
        <v>717</v>
      </c>
      <c r="B296" s="18" t="s">
        <v>718</v>
      </c>
      <c r="C296" s="19" t="s">
        <v>1167</v>
      </c>
    </row>
    <row r="297" spans="1:3" s="17" customFormat="1">
      <c r="A297" s="17" t="s">
        <v>719</v>
      </c>
      <c r="B297" s="18" t="s">
        <v>720</v>
      </c>
      <c r="C297" s="19" t="s">
        <v>1167</v>
      </c>
    </row>
    <row r="298" spans="1:3" s="17" customFormat="1">
      <c r="A298" s="17" t="s">
        <v>721</v>
      </c>
      <c r="B298" s="18" t="s">
        <v>722</v>
      </c>
      <c r="C298" s="19" t="s">
        <v>1167</v>
      </c>
    </row>
    <row r="299" spans="1:3" s="17" customFormat="1">
      <c r="A299" s="17" t="s">
        <v>723</v>
      </c>
      <c r="B299" s="18" t="s">
        <v>724</v>
      </c>
      <c r="C299" s="19" t="s">
        <v>1167</v>
      </c>
    </row>
    <row r="300" spans="1:3" s="17" customFormat="1">
      <c r="A300" s="17" t="s">
        <v>725</v>
      </c>
      <c r="B300" s="18" t="s">
        <v>726</v>
      </c>
      <c r="C300" s="19" t="s">
        <v>1167</v>
      </c>
    </row>
    <row r="301" spans="1:3" s="17" customFormat="1">
      <c r="A301" s="17" t="s">
        <v>727</v>
      </c>
      <c r="B301" s="18" t="s">
        <v>728</v>
      </c>
      <c r="C301" s="19" t="s">
        <v>1167</v>
      </c>
    </row>
    <row r="302" spans="1:3" s="17" customFormat="1">
      <c r="A302" s="17" t="s">
        <v>729</v>
      </c>
      <c r="B302" s="18" t="s">
        <v>730</v>
      </c>
      <c r="C302" s="19" t="s">
        <v>1167</v>
      </c>
    </row>
    <row r="303" spans="1:3" s="17" customFormat="1">
      <c r="A303" s="17" t="s">
        <v>731</v>
      </c>
      <c r="B303" s="18" t="s">
        <v>732</v>
      </c>
      <c r="C303" s="19" t="s">
        <v>1167</v>
      </c>
    </row>
    <row r="304" spans="1:3" s="17" customFormat="1">
      <c r="A304" s="17" t="s">
        <v>733</v>
      </c>
      <c r="B304" s="18" t="s">
        <v>734</v>
      </c>
      <c r="C304" s="19" t="s">
        <v>1167</v>
      </c>
    </row>
    <row r="305" spans="1:3" s="17" customFormat="1">
      <c r="A305" s="17" t="s">
        <v>735</v>
      </c>
      <c r="B305" s="18" t="s">
        <v>736</v>
      </c>
      <c r="C305" s="19" t="s">
        <v>1167</v>
      </c>
    </row>
    <row r="306" spans="1:3" s="17" customFormat="1">
      <c r="A306" s="17" t="s">
        <v>737</v>
      </c>
      <c r="B306" s="18" t="s">
        <v>738</v>
      </c>
      <c r="C306" s="19" t="s">
        <v>1167</v>
      </c>
    </row>
    <row r="307" spans="1:3" s="17" customFormat="1">
      <c r="A307" s="17" t="s">
        <v>739</v>
      </c>
      <c r="B307" s="18" t="s">
        <v>740</v>
      </c>
      <c r="C307" s="19" t="s">
        <v>1167</v>
      </c>
    </row>
    <row r="308" spans="1:3" s="17" customFormat="1">
      <c r="A308" s="17" t="s">
        <v>741</v>
      </c>
      <c r="B308" s="18" t="s">
        <v>742</v>
      </c>
      <c r="C308" s="19" t="s">
        <v>1167</v>
      </c>
    </row>
    <row r="309" spans="1:3" s="17" customFormat="1">
      <c r="A309" s="17" t="s">
        <v>743</v>
      </c>
      <c r="B309" s="18" t="s">
        <v>744</v>
      </c>
      <c r="C309" s="19" t="s">
        <v>1167</v>
      </c>
    </row>
    <row r="310" spans="1:3" s="17" customFormat="1">
      <c r="A310" s="17" t="s">
        <v>745</v>
      </c>
      <c r="B310" s="18" t="s">
        <v>746</v>
      </c>
      <c r="C310" s="19" t="s">
        <v>1167</v>
      </c>
    </row>
    <row r="311" spans="1:3" s="17" customFormat="1">
      <c r="A311" s="17" t="s">
        <v>747</v>
      </c>
      <c r="B311" s="18" t="s">
        <v>748</v>
      </c>
      <c r="C311" s="19" t="s">
        <v>1167</v>
      </c>
    </row>
    <row r="312" spans="1:3" s="17" customFormat="1">
      <c r="A312" s="17" t="s">
        <v>749</v>
      </c>
      <c r="B312" s="18" t="s">
        <v>750</v>
      </c>
      <c r="C312" s="19" t="s">
        <v>1167</v>
      </c>
    </row>
    <row r="313" spans="1:3" s="17" customFormat="1">
      <c r="A313" s="17" t="s">
        <v>751</v>
      </c>
      <c r="B313" s="18" t="s">
        <v>752</v>
      </c>
      <c r="C313" s="19" t="s">
        <v>1167</v>
      </c>
    </row>
    <row r="314" spans="1:3" s="17" customFormat="1">
      <c r="A314" s="17" t="s">
        <v>753</v>
      </c>
      <c r="B314" s="18" t="s">
        <v>754</v>
      </c>
      <c r="C314" s="19" t="s">
        <v>1167</v>
      </c>
    </row>
    <row r="315" spans="1:3" s="17" customFormat="1">
      <c r="A315" s="17" t="s">
        <v>755</v>
      </c>
      <c r="B315" s="18" t="s">
        <v>756</v>
      </c>
      <c r="C315" s="19" t="s">
        <v>1167</v>
      </c>
    </row>
    <row r="316" spans="1:3" s="17" customFormat="1">
      <c r="A316" s="17" t="s">
        <v>757</v>
      </c>
      <c r="B316" s="18" t="s">
        <v>758</v>
      </c>
      <c r="C316" s="19" t="s">
        <v>1167</v>
      </c>
    </row>
    <row r="317" spans="1:3" s="17" customFormat="1">
      <c r="A317" s="17" t="s">
        <v>759</v>
      </c>
      <c r="B317" s="18" t="s">
        <v>760</v>
      </c>
      <c r="C317" s="19" t="s">
        <v>1167</v>
      </c>
    </row>
    <row r="318" spans="1:3" s="17" customFormat="1">
      <c r="A318" s="17" t="s">
        <v>761</v>
      </c>
      <c r="B318" s="18" t="s">
        <v>762</v>
      </c>
      <c r="C318" s="19" t="s">
        <v>1167</v>
      </c>
    </row>
    <row r="319" spans="1:3" s="17" customFormat="1">
      <c r="A319" s="17" t="s">
        <v>763</v>
      </c>
      <c r="B319" s="18" t="s">
        <v>764</v>
      </c>
      <c r="C319" s="19" t="s">
        <v>1167</v>
      </c>
    </row>
    <row r="320" spans="1:3" s="17" customFormat="1">
      <c r="A320" s="17" t="s">
        <v>765</v>
      </c>
      <c r="B320" s="18" t="s">
        <v>766</v>
      </c>
      <c r="C320" s="19" t="s">
        <v>1167</v>
      </c>
    </row>
    <row r="321" spans="1:3" s="17" customFormat="1">
      <c r="A321" s="17" t="s">
        <v>767</v>
      </c>
      <c r="B321" s="18" t="s">
        <v>768</v>
      </c>
      <c r="C321" s="19" t="s">
        <v>1167</v>
      </c>
    </row>
    <row r="322" spans="1:3" s="17" customFormat="1">
      <c r="A322" s="17" t="s">
        <v>769</v>
      </c>
      <c r="B322" s="18" t="s">
        <v>770</v>
      </c>
      <c r="C322" s="19" t="s">
        <v>1167</v>
      </c>
    </row>
    <row r="323" spans="1:3" s="17" customFormat="1">
      <c r="A323" s="17" t="s">
        <v>771</v>
      </c>
      <c r="B323" s="18" t="s">
        <v>772</v>
      </c>
      <c r="C323" s="19" t="s">
        <v>1167</v>
      </c>
    </row>
    <row r="324" spans="1:3" s="17" customFormat="1">
      <c r="A324" s="17" t="s">
        <v>773</v>
      </c>
      <c r="B324" s="18" t="s">
        <v>774</v>
      </c>
      <c r="C324" s="19" t="s">
        <v>1167</v>
      </c>
    </row>
    <row r="325" spans="1:3" s="17" customFormat="1">
      <c r="A325" s="17" t="s">
        <v>775</v>
      </c>
      <c r="B325" s="18" t="s">
        <v>776</v>
      </c>
      <c r="C325" s="19" t="s">
        <v>1167</v>
      </c>
    </row>
    <row r="326" spans="1:3" s="17" customFormat="1">
      <c r="A326" s="17" t="s">
        <v>777</v>
      </c>
      <c r="B326" s="18" t="s">
        <v>778</v>
      </c>
      <c r="C326" s="19" t="s">
        <v>1167</v>
      </c>
    </row>
    <row r="327" spans="1:3" s="17" customFormat="1">
      <c r="A327" s="17" t="s">
        <v>779</v>
      </c>
      <c r="B327" s="18" t="s">
        <v>780</v>
      </c>
      <c r="C327" s="19" t="s">
        <v>1167</v>
      </c>
    </row>
    <row r="328" spans="1:3" s="17" customFormat="1">
      <c r="A328" s="17" t="s">
        <v>781</v>
      </c>
      <c r="B328" s="18" t="s">
        <v>782</v>
      </c>
      <c r="C328" s="19" t="s">
        <v>1167</v>
      </c>
    </row>
    <row r="329" spans="1:3" s="17" customFormat="1">
      <c r="A329" s="17" t="s">
        <v>783</v>
      </c>
      <c r="B329" s="18" t="s">
        <v>784</v>
      </c>
      <c r="C329" s="19" t="s">
        <v>1167</v>
      </c>
    </row>
    <row r="330" spans="1:3" s="17" customFormat="1">
      <c r="A330" s="17" t="s">
        <v>785</v>
      </c>
      <c r="B330" s="18" t="s">
        <v>786</v>
      </c>
      <c r="C330" s="19" t="s">
        <v>1167</v>
      </c>
    </row>
    <row r="331" spans="1:3" s="17" customFormat="1">
      <c r="A331" s="17" t="s">
        <v>787</v>
      </c>
      <c r="B331" s="18" t="s">
        <v>788</v>
      </c>
      <c r="C331" s="19" t="s">
        <v>1167</v>
      </c>
    </row>
    <row r="332" spans="1:3" s="17" customFormat="1">
      <c r="A332" s="17" t="s">
        <v>789</v>
      </c>
      <c r="B332" s="18" t="s">
        <v>790</v>
      </c>
      <c r="C332" s="19" t="s">
        <v>1167</v>
      </c>
    </row>
    <row r="333" spans="1:3" s="17" customFormat="1">
      <c r="A333" s="17" t="s">
        <v>791</v>
      </c>
      <c r="B333" s="18" t="s">
        <v>792</v>
      </c>
      <c r="C333" s="19" t="s">
        <v>1167</v>
      </c>
    </row>
    <row r="334" spans="1:3" s="17" customFormat="1">
      <c r="A334" s="17" t="s">
        <v>793</v>
      </c>
      <c r="B334" s="18" t="s">
        <v>794</v>
      </c>
      <c r="C334" s="19" t="s">
        <v>1167</v>
      </c>
    </row>
    <row r="335" spans="1:3" s="17" customFormat="1">
      <c r="A335" s="17" t="s">
        <v>795</v>
      </c>
      <c r="B335" s="18" t="s">
        <v>796</v>
      </c>
      <c r="C335" s="19" t="s">
        <v>1167</v>
      </c>
    </row>
    <row r="336" spans="1:3" s="17" customFormat="1">
      <c r="A336" s="17" t="s">
        <v>797</v>
      </c>
      <c r="B336" s="18" t="s">
        <v>798</v>
      </c>
      <c r="C336" s="19" t="s">
        <v>1167</v>
      </c>
    </row>
    <row r="337" spans="1:3" s="17" customFormat="1">
      <c r="A337" s="17" t="s">
        <v>799</v>
      </c>
      <c r="B337" s="18" t="s">
        <v>800</v>
      </c>
      <c r="C337" s="19" t="s">
        <v>1167</v>
      </c>
    </row>
    <row r="338" spans="1:3" s="17" customFormat="1">
      <c r="A338" s="17" t="s">
        <v>801</v>
      </c>
      <c r="B338" s="18" t="s">
        <v>802</v>
      </c>
      <c r="C338" s="19" t="s">
        <v>1167</v>
      </c>
    </row>
    <row r="339" spans="1:3" s="17" customFormat="1">
      <c r="A339" s="17" t="s">
        <v>803</v>
      </c>
      <c r="B339" s="18" t="s">
        <v>804</v>
      </c>
      <c r="C339" s="19" t="s">
        <v>1167</v>
      </c>
    </row>
    <row r="340" spans="1:3" s="17" customFormat="1">
      <c r="A340" s="17" t="s">
        <v>805</v>
      </c>
      <c r="B340" s="18" t="s">
        <v>806</v>
      </c>
      <c r="C340" s="19" t="s">
        <v>1167</v>
      </c>
    </row>
    <row r="341" spans="1:3" s="17" customFormat="1">
      <c r="A341" s="17" t="s">
        <v>807</v>
      </c>
      <c r="B341" s="18" t="s">
        <v>808</v>
      </c>
      <c r="C341" s="19" t="s">
        <v>1167</v>
      </c>
    </row>
    <row r="342" spans="1:3" s="17" customFormat="1">
      <c r="A342" s="17" t="s">
        <v>809</v>
      </c>
      <c r="B342" s="18" t="s">
        <v>810</v>
      </c>
      <c r="C342" s="19" t="s">
        <v>1167</v>
      </c>
    </row>
    <row r="343" spans="1:3" s="17" customFormat="1">
      <c r="A343" s="17" t="s">
        <v>811</v>
      </c>
      <c r="B343" s="18" t="s">
        <v>812</v>
      </c>
      <c r="C343" s="19" t="s">
        <v>1167</v>
      </c>
    </row>
    <row r="344" spans="1:3" s="17" customFormat="1">
      <c r="A344" s="17" t="s">
        <v>813</v>
      </c>
      <c r="B344" s="18" t="s">
        <v>814</v>
      </c>
      <c r="C344" s="19" t="s">
        <v>1167</v>
      </c>
    </row>
    <row r="345" spans="1:3" s="59" customFormat="1">
      <c r="A345" s="59" t="s">
        <v>815</v>
      </c>
      <c r="B345" s="60" t="s">
        <v>816</v>
      </c>
      <c r="C345" s="61" t="s">
        <v>1175</v>
      </c>
    </row>
    <row r="346" spans="1:3" s="17" customFormat="1">
      <c r="A346" s="17" t="s">
        <v>817</v>
      </c>
      <c r="B346" s="18" t="s">
        <v>818</v>
      </c>
      <c r="C346" s="19" t="s">
        <v>1167</v>
      </c>
    </row>
    <row r="347" spans="1:3" s="59" customFormat="1">
      <c r="A347" s="59" t="s">
        <v>819</v>
      </c>
      <c r="B347" s="60" t="s">
        <v>820</v>
      </c>
      <c r="C347" s="61" t="s">
        <v>1175</v>
      </c>
    </row>
    <row r="348" spans="1:3" s="17" customFormat="1">
      <c r="A348" s="17" t="s">
        <v>821</v>
      </c>
      <c r="B348" s="18" t="s">
        <v>822</v>
      </c>
      <c r="C348" s="19" t="s">
        <v>1167</v>
      </c>
    </row>
    <row r="349" spans="1:3" s="59" customFormat="1">
      <c r="A349" s="59" t="s">
        <v>823</v>
      </c>
      <c r="B349" s="60" t="s">
        <v>824</v>
      </c>
      <c r="C349" s="61" t="s">
        <v>1175</v>
      </c>
    </row>
    <row r="350" spans="1:3" s="17" customFormat="1">
      <c r="A350" s="17" t="s">
        <v>825</v>
      </c>
      <c r="B350" s="18" t="s">
        <v>826</v>
      </c>
      <c r="C350" s="19" t="s">
        <v>1167</v>
      </c>
    </row>
    <row r="351" spans="1:3" s="59" customFormat="1">
      <c r="A351" s="59" t="s">
        <v>827</v>
      </c>
      <c r="B351" s="60" t="s">
        <v>828</v>
      </c>
      <c r="C351" s="61" t="s">
        <v>1175</v>
      </c>
    </row>
    <row r="352" spans="1:3" s="17" customFormat="1">
      <c r="A352" s="17" t="s">
        <v>829</v>
      </c>
      <c r="B352" s="18" t="s">
        <v>830</v>
      </c>
      <c r="C352" s="19" t="s">
        <v>1167</v>
      </c>
    </row>
    <row r="353" spans="1:3" s="59" customFormat="1">
      <c r="A353" s="59" t="s">
        <v>831</v>
      </c>
      <c r="B353" s="60" t="s">
        <v>832</v>
      </c>
      <c r="C353" s="61" t="s">
        <v>1175</v>
      </c>
    </row>
    <row r="354" spans="1:3" s="17" customFormat="1">
      <c r="A354" s="17" t="s">
        <v>833</v>
      </c>
      <c r="B354" s="18" t="s">
        <v>834</v>
      </c>
      <c r="C354" s="19" t="s">
        <v>1167</v>
      </c>
    </row>
    <row r="355" spans="1:3" s="17" customFormat="1">
      <c r="A355" s="17" t="s">
        <v>835</v>
      </c>
      <c r="B355" s="18" t="s">
        <v>836</v>
      </c>
      <c r="C355" s="19" t="s">
        <v>1167</v>
      </c>
    </row>
    <row r="356" spans="1:3" s="17" customFormat="1">
      <c r="A356" s="17" t="s">
        <v>837</v>
      </c>
      <c r="B356" s="18" t="s">
        <v>838</v>
      </c>
      <c r="C356" s="19" t="s">
        <v>1167</v>
      </c>
    </row>
    <row r="357" spans="1:3" s="17" customFormat="1">
      <c r="A357" s="17" t="s">
        <v>839</v>
      </c>
      <c r="B357" s="18" t="s">
        <v>840</v>
      </c>
      <c r="C357" s="19" t="s">
        <v>1167</v>
      </c>
    </row>
    <row r="358" spans="1:3" s="17" customFormat="1">
      <c r="A358" s="17" t="s">
        <v>841</v>
      </c>
      <c r="B358" s="18" t="s">
        <v>842</v>
      </c>
      <c r="C358" s="19" t="s">
        <v>1167</v>
      </c>
    </row>
    <row r="359" spans="1:3" s="17" customFormat="1">
      <c r="A359" s="17" t="s">
        <v>843</v>
      </c>
      <c r="B359" s="18" t="s">
        <v>844</v>
      </c>
      <c r="C359" s="19" t="s">
        <v>1167</v>
      </c>
    </row>
    <row r="360" spans="1:3" s="59" customFormat="1">
      <c r="A360" s="59" t="s">
        <v>845</v>
      </c>
      <c r="B360" s="60" t="s">
        <v>846</v>
      </c>
      <c r="C360" s="61" t="s">
        <v>1175</v>
      </c>
    </row>
    <row r="361" spans="1:3" s="59" customFormat="1">
      <c r="A361" s="59" t="s">
        <v>847</v>
      </c>
      <c r="B361" s="60" t="s">
        <v>848</v>
      </c>
      <c r="C361" s="61" t="s">
        <v>1175</v>
      </c>
    </row>
    <row r="362" spans="1:3" s="59" customFormat="1">
      <c r="A362" s="59" t="s">
        <v>849</v>
      </c>
      <c r="B362" s="60" t="s">
        <v>850</v>
      </c>
      <c r="C362" s="61" t="s">
        <v>1175</v>
      </c>
    </row>
    <row r="363" spans="1:3" s="59" customFormat="1">
      <c r="A363" s="59" t="s">
        <v>851</v>
      </c>
      <c r="B363" s="60" t="s">
        <v>852</v>
      </c>
      <c r="C363" s="61" t="s">
        <v>1175</v>
      </c>
    </row>
    <row r="364" spans="1:3" s="59" customFormat="1">
      <c r="A364" s="59" t="s">
        <v>853</v>
      </c>
      <c r="B364" s="60" t="s">
        <v>854</v>
      </c>
      <c r="C364" s="61" t="s">
        <v>1175</v>
      </c>
    </row>
    <row r="365" spans="1:3" s="20" customFormat="1">
      <c r="A365" s="20" t="s">
        <v>855</v>
      </c>
      <c r="B365" s="21" t="s">
        <v>856</v>
      </c>
      <c r="C365" s="22" t="s">
        <v>1196</v>
      </c>
    </row>
    <row r="366" spans="1:3" s="20" customFormat="1">
      <c r="A366" s="20" t="s">
        <v>857</v>
      </c>
      <c r="B366" s="21" t="s">
        <v>858</v>
      </c>
      <c r="C366" s="22" t="s">
        <v>1196</v>
      </c>
    </row>
    <row r="367" spans="1:3" s="20" customFormat="1">
      <c r="A367" s="20" t="s">
        <v>859</v>
      </c>
      <c r="B367" s="21" t="s">
        <v>860</v>
      </c>
      <c r="C367" s="22" t="s">
        <v>1196</v>
      </c>
    </row>
    <row r="368" spans="1:3" s="20" customFormat="1">
      <c r="A368" s="20" t="s">
        <v>861</v>
      </c>
      <c r="B368" s="21" t="s">
        <v>862</v>
      </c>
      <c r="C368" s="22" t="s">
        <v>1196</v>
      </c>
    </row>
    <row r="369" spans="1:3" s="20" customFormat="1">
      <c r="A369" s="20" t="s">
        <v>863</v>
      </c>
      <c r="B369" s="21" t="s">
        <v>864</v>
      </c>
      <c r="C369" s="22" t="s">
        <v>1196</v>
      </c>
    </row>
    <row r="370" spans="1:3" s="20" customFormat="1">
      <c r="A370" s="20" t="s">
        <v>865</v>
      </c>
      <c r="B370" s="21" t="s">
        <v>866</v>
      </c>
      <c r="C370" s="22" t="s">
        <v>1196</v>
      </c>
    </row>
    <row r="371" spans="1:3" s="20" customFormat="1">
      <c r="A371" s="20" t="s">
        <v>867</v>
      </c>
      <c r="B371" s="21" t="s">
        <v>868</v>
      </c>
      <c r="C371" s="22" t="s">
        <v>1196</v>
      </c>
    </row>
    <row r="372" spans="1:3" s="20" customFormat="1">
      <c r="A372" s="20" t="s">
        <v>869</v>
      </c>
      <c r="B372" s="21" t="s">
        <v>870</v>
      </c>
      <c r="C372" s="22" t="s">
        <v>1196</v>
      </c>
    </row>
    <row r="373" spans="1:3" s="20" customFormat="1">
      <c r="A373" s="20" t="s">
        <v>871</v>
      </c>
      <c r="B373" s="21" t="s">
        <v>872</v>
      </c>
      <c r="C373" s="22" t="s">
        <v>1196</v>
      </c>
    </row>
    <row r="374" spans="1:3" s="20" customFormat="1">
      <c r="A374" s="20" t="s">
        <v>873</v>
      </c>
      <c r="B374" s="21" t="s">
        <v>874</v>
      </c>
      <c r="C374" s="22" t="s">
        <v>1196</v>
      </c>
    </row>
    <row r="375" spans="1:3" s="20" customFormat="1">
      <c r="A375" s="20" t="s">
        <v>875</v>
      </c>
      <c r="B375" s="21" t="s">
        <v>876</v>
      </c>
      <c r="C375" s="22" t="s">
        <v>1196</v>
      </c>
    </row>
    <row r="376" spans="1:3" s="20" customFormat="1">
      <c r="A376" s="20" t="s">
        <v>877</v>
      </c>
      <c r="B376" s="21" t="s">
        <v>878</v>
      </c>
      <c r="C376" s="22" t="s">
        <v>1196</v>
      </c>
    </row>
    <row r="377" spans="1:3" s="20" customFormat="1">
      <c r="A377" s="20" t="s">
        <v>879</v>
      </c>
      <c r="B377" s="21" t="s">
        <v>880</v>
      </c>
      <c r="C377" s="22" t="s">
        <v>1196</v>
      </c>
    </row>
    <row r="378" spans="1:3" s="20" customFormat="1">
      <c r="A378" s="20" t="s">
        <v>881</v>
      </c>
      <c r="B378" s="21" t="s">
        <v>882</v>
      </c>
      <c r="C378" s="22" t="s">
        <v>1196</v>
      </c>
    </row>
  </sheetData>
  <autoFilter ref="A1:F378" xr:uid="{7CBE21D6-E76D-4272-876D-210428038CBB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187D5-F6D8-4E7C-B9FB-185651ED2B0B}">
  <sheetPr codeName="Sheet5"/>
  <dimension ref="A1:C33"/>
  <sheetViews>
    <sheetView topLeftCell="A43" zoomScale="130" zoomScaleNormal="130" workbookViewId="0">
      <selection activeCell="B23" sqref="B23"/>
    </sheetView>
  </sheetViews>
  <sheetFormatPr defaultRowHeight="15"/>
  <cols>
    <col min="1" max="1" width="90.42578125" bestFit="1" customWidth="1"/>
    <col min="2" max="2" width="45.7109375" bestFit="1" customWidth="1"/>
    <col min="3" max="3" width="14.140625" customWidth="1"/>
  </cols>
  <sheetData>
    <row r="1" spans="1:3">
      <c r="A1" t="s">
        <v>1078</v>
      </c>
      <c r="B1" s="1" t="s">
        <v>1111</v>
      </c>
      <c r="C1" t="s">
        <v>1196</v>
      </c>
    </row>
    <row r="2" spans="1:3">
      <c r="A2" t="s">
        <v>1079</v>
      </c>
      <c r="B2" s="1" t="s">
        <v>1112</v>
      </c>
      <c r="C2" t="s">
        <v>1196</v>
      </c>
    </row>
    <row r="3" spans="1:3">
      <c r="A3" t="s">
        <v>1080</v>
      </c>
      <c r="B3" s="1" t="s">
        <v>1113</v>
      </c>
      <c r="C3" t="s">
        <v>1196</v>
      </c>
    </row>
    <row r="4" spans="1:3">
      <c r="A4" t="s">
        <v>1081</v>
      </c>
      <c r="B4" s="1" t="s">
        <v>1114</v>
      </c>
      <c r="C4" t="s">
        <v>1196</v>
      </c>
    </row>
    <row r="5" spans="1:3">
      <c r="A5" t="s">
        <v>1082</v>
      </c>
      <c r="B5" s="1" t="s">
        <v>1115</v>
      </c>
      <c r="C5" t="s">
        <v>1196</v>
      </c>
    </row>
    <row r="6" spans="1:3">
      <c r="A6" t="s">
        <v>1083</v>
      </c>
      <c r="B6" s="1" t="s">
        <v>1116</v>
      </c>
      <c r="C6" t="s">
        <v>1196</v>
      </c>
    </row>
    <row r="7" spans="1:3">
      <c r="A7" t="s">
        <v>1084</v>
      </c>
      <c r="B7" s="1" t="s">
        <v>1117</v>
      </c>
      <c r="C7" t="s">
        <v>1196</v>
      </c>
    </row>
    <row r="8" spans="1:3">
      <c r="A8" t="s">
        <v>1085</v>
      </c>
      <c r="B8" s="1" t="s">
        <v>1118</v>
      </c>
      <c r="C8" t="s">
        <v>1196</v>
      </c>
    </row>
    <row r="9" spans="1:3">
      <c r="A9" t="s">
        <v>1086</v>
      </c>
      <c r="B9" s="1" t="s">
        <v>1119</v>
      </c>
      <c r="C9" t="s">
        <v>1196</v>
      </c>
    </row>
    <row r="10" spans="1:3">
      <c r="A10" t="s">
        <v>1087</v>
      </c>
      <c r="B10" s="1" t="s">
        <v>1120</v>
      </c>
      <c r="C10" t="s">
        <v>1196</v>
      </c>
    </row>
    <row r="11" spans="1:3">
      <c r="A11" t="s">
        <v>1088</v>
      </c>
      <c r="B11" s="1" t="s">
        <v>1121</v>
      </c>
      <c r="C11" t="s">
        <v>1196</v>
      </c>
    </row>
    <row r="12" spans="1:3">
      <c r="A12" t="s">
        <v>1089</v>
      </c>
      <c r="B12" t="s">
        <v>1122</v>
      </c>
      <c r="C12" t="s">
        <v>1196</v>
      </c>
    </row>
    <row r="13" spans="1:3">
      <c r="A13" t="s">
        <v>1090</v>
      </c>
      <c r="B13" t="s">
        <v>1123</v>
      </c>
      <c r="C13" t="s">
        <v>1196</v>
      </c>
    </row>
    <row r="14" spans="1:3">
      <c r="A14" t="s">
        <v>1091</v>
      </c>
      <c r="B14" t="s">
        <v>1124</v>
      </c>
      <c r="C14" t="s">
        <v>1196</v>
      </c>
    </row>
    <row r="15" spans="1:3">
      <c r="A15" t="s">
        <v>1092</v>
      </c>
      <c r="B15" t="s">
        <v>1125</v>
      </c>
      <c r="C15" t="s">
        <v>1196</v>
      </c>
    </row>
    <row r="16" spans="1:3">
      <c r="A16" t="s">
        <v>1093</v>
      </c>
      <c r="B16" t="s">
        <v>1126</v>
      </c>
      <c r="C16" t="s">
        <v>1196</v>
      </c>
    </row>
    <row r="17" spans="1:3">
      <c r="A17" t="s">
        <v>1094</v>
      </c>
      <c r="B17" t="s">
        <v>1127</v>
      </c>
      <c r="C17" t="s">
        <v>1196</v>
      </c>
    </row>
    <row r="18" spans="1:3">
      <c r="A18" t="s">
        <v>1095</v>
      </c>
      <c r="B18" s="1" t="s">
        <v>1128</v>
      </c>
      <c r="C18" t="s">
        <v>1196</v>
      </c>
    </row>
    <row r="19" spans="1:3">
      <c r="A19" t="s">
        <v>1096</v>
      </c>
      <c r="B19" s="1" t="s">
        <v>1129</v>
      </c>
      <c r="C19" t="s">
        <v>1196</v>
      </c>
    </row>
    <row r="20" spans="1:3">
      <c r="A20" t="s">
        <v>1097</v>
      </c>
      <c r="B20" s="1" t="s">
        <v>1130</v>
      </c>
      <c r="C20" t="s">
        <v>1196</v>
      </c>
    </row>
    <row r="21" spans="1:3">
      <c r="A21" t="s">
        <v>1098</v>
      </c>
      <c r="B21" s="1" t="s">
        <v>1131</v>
      </c>
      <c r="C21" t="s">
        <v>1196</v>
      </c>
    </row>
    <row r="22" spans="1:3">
      <c r="A22" t="s">
        <v>1099</v>
      </c>
      <c r="B22" s="1" t="s">
        <v>1132</v>
      </c>
      <c r="C22" t="s">
        <v>1196</v>
      </c>
    </row>
    <row r="23" spans="1:3">
      <c r="A23" t="s">
        <v>1100</v>
      </c>
      <c r="B23" s="1" t="s">
        <v>1133</v>
      </c>
      <c r="C23" t="s">
        <v>1196</v>
      </c>
    </row>
    <row r="24" spans="1:3">
      <c r="A24" t="s">
        <v>1101</v>
      </c>
      <c r="B24" s="1" t="s">
        <v>1134</v>
      </c>
      <c r="C24" t="s">
        <v>1196</v>
      </c>
    </row>
    <row r="25" spans="1:3">
      <c r="A25" t="s">
        <v>1102</v>
      </c>
      <c r="B25" s="1" t="s">
        <v>1135</v>
      </c>
      <c r="C25" t="s">
        <v>1196</v>
      </c>
    </row>
    <row r="26" spans="1:3">
      <c r="A26" t="s">
        <v>1103</v>
      </c>
      <c r="B26" s="1" t="s">
        <v>1136</v>
      </c>
      <c r="C26" t="s">
        <v>1196</v>
      </c>
    </row>
    <row r="27" spans="1:3">
      <c r="A27" t="s">
        <v>1104</v>
      </c>
      <c r="B27" s="1" t="s">
        <v>1137</v>
      </c>
      <c r="C27" t="s">
        <v>1196</v>
      </c>
    </row>
    <row r="28" spans="1:3">
      <c r="A28" t="s">
        <v>1105</v>
      </c>
      <c r="B28" s="1" t="s">
        <v>1138</v>
      </c>
      <c r="C28" t="s">
        <v>1196</v>
      </c>
    </row>
    <row r="29" spans="1:3">
      <c r="A29" t="s">
        <v>1106</v>
      </c>
      <c r="B29" s="1" t="s">
        <v>1139</v>
      </c>
      <c r="C29" t="s">
        <v>1196</v>
      </c>
    </row>
    <row r="30" spans="1:3">
      <c r="A30" t="s">
        <v>1107</v>
      </c>
      <c r="B30" s="1" t="s">
        <v>1140</v>
      </c>
      <c r="C30" t="s">
        <v>1196</v>
      </c>
    </row>
    <row r="31" spans="1:3">
      <c r="A31" t="s">
        <v>1108</v>
      </c>
      <c r="B31" s="1" t="s">
        <v>1141</v>
      </c>
      <c r="C31" t="s">
        <v>1196</v>
      </c>
    </row>
    <row r="32" spans="1:3">
      <c r="A32" t="s">
        <v>1109</v>
      </c>
      <c r="B32" s="1" t="s">
        <v>1142</v>
      </c>
      <c r="C32" t="s">
        <v>1196</v>
      </c>
    </row>
    <row r="33" spans="1:3">
      <c r="A33" t="s">
        <v>1110</v>
      </c>
      <c r="B33" s="1" t="s">
        <v>1143</v>
      </c>
      <c r="C33" t="s">
        <v>1196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62</vt:i4>
      </vt:variant>
    </vt:vector>
  </HeadingPairs>
  <TitlesOfParts>
    <vt:vector size="70" baseType="lpstr">
      <vt:lpstr>Main Sheet</vt:lpstr>
      <vt:lpstr>Group Accounts</vt:lpstr>
      <vt:lpstr>Reports</vt:lpstr>
      <vt:lpstr>Result</vt:lpstr>
      <vt:lpstr>P&amp;L Grouping</vt:lpstr>
      <vt:lpstr>Income</vt:lpstr>
      <vt:lpstr>Cost of Salesa Expenses</vt:lpstr>
      <vt:lpstr>Operating Cost </vt:lpstr>
      <vt:lpstr>E_COS</vt:lpstr>
      <vt:lpstr>E_Export</vt:lpstr>
      <vt:lpstr>E_GP</vt:lpstr>
      <vt:lpstr>E_Import</vt:lpstr>
      <vt:lpstr>E_Income</vt:lpstr>
      <vt:lpstr>E_sumTotal1</vt:lpstr>
      <vt:lpstr>E_sumTotal10</vt:lpstr>
      <vt:lpstr>E_sumTotal11</vt:lpstr>
      <vt:lpstr>E_sumTotal12</vt:lpstr>
      <vt:lpstr>E_sumTotal13</vt:lpstr>
      <vt:lpstr>E_sumTotal14</vt:lpstr>
      <vt:lpstr>E_sumTotal15</vt:lpstr>
      <vt:lpstr>E_sumTotal16</vt:lpstr>
      <vt:lpstr>E_sumTotal17</vt:lpstr>
      <vt:lpstr>E_sumTotal18</vt:lpstr>
      <vt:lpstr>E_sumTotal2</vt:lpstr>
      <vt:lpstr>E_sumTotal3</vt:lpstr>
      <vt:lpstr>E_sumTotal4</vt:lpstr>
      <vt:lpstr>E_sumTotal5</vt:lpstr>
      <vt:lpstr>E_sumTotal6</vt:lpstr>
      <vt:lpstr>E_sumTotal7</vt:lpstr>
      <vt:lpstr>E_sumTotal8</vt:lpstr>
      <vt:lpstr>E_sumTotal9</vt:lpstr>
      <vt:lpstr>E_TotalIncome</vt:lpstr>
      <vt:lpstr>E_Transit</vt:lpstr>
      <vt:lpstr>EsumTotal1</vt:lpstr>
      <vt:lpstr>ESumTotal2</vt:lpstr>
      <vt:lpstr>ESumTotal3</vt:lpstr>
      <vt:lpstr>Export</vt:lpstr>
      <vt:lpstr>I_COS</vt:lpstr>
      <vt:lpstr>I_Export</vt:lpstr>
      <vt:lpstr>I_GP</vt:lpstr>
      <vt:lpstr>I_import</vt:lpstr>
      <vt:lpstr>I_Income</vt:lpstr>
      <vt:lpstr>I_OIncome</vt:lpstr>
      <vt:lpstr>I_sumTotal1</vt:lpstr>
      <vt:lpstr>I_sumTotal10</vt:lpstr>
      <vt:lpstr>I_sumTotal11</vt:lpstr>
      <vt:lpstr>I_sumTotal12</vt:lpstr>
      <vt:lpstr>I_sumTotal13</vt:lpstr>
      <vt:lpstr>I_sumTotal14</vt:lpstr>
      <vt:lpstr>I_sumTotal15</vt:lpstr>
      <vt:lpstr>I_sumTotal16</vt:lpstr>
      <vt:lpstr>I_sumTotal17</vt:lpstr>
      <vt:lpstr>I_sumTotal18</vt:lpstr>
      <vt:lpstr>I_sumTotal2</vt:lpstr>
      <vt:lpstr>I_sumTotal3</vt:lpstr>
      <vt:lpstr>I_sumTotal4</vt:lpstr>
      <vt:lpstr>I_sumTotal5</vt:lpstr>
      <vt:lpstr>I_sumTotal6</vt:lpstr>
      <vt:lpstr>I_sumTotal7</vt:lpstr>
      <vt:lpstr>I_sumTotal8</vt:lpstr>
      <vt:lpstr>I_sumTotal9</vt:lpstr>
      <vt:lpstr>I_TotalIncome</vt:lpstr>
      <vt:lpstr>I_Transit</vt:lpstr>
      <vt:lpstr>Import</vt:lpstr>
      <vt:lpstr>Income</vt:lpstr>
      <vt:lpstr>IsumTotal2</vt:lpstr>
      <vt:lpstr>Reports!Print_Area</vt:lpstr>
      <vt:lpstr>sumTotal1</vt:lpstr>
      <vt:lpstr>sumTotal2</vt:lpstr>
      <vt:lpstr>Transit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NETSYS04</dc:creator>
  <cp:lastModifiedBy>IT_SDP</cp:lastModifiedBy>
  <cp:lastPrinted>2024-05-13T08:55:07Z</cp:lastPrinted>
  <dcterms:created xsi:type="dcterms:W3CDTF">2024-05-21T02:36:22Z</dcterms:created>
  <dcterms:modified xsi:type="dcterms:W3CDTF">2024-05-24T07:22:13Z</dcterms:modified>
</cp:coreProperties>
</file>